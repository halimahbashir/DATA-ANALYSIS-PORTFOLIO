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c8d91c5bba96f787/Documents/ANALYSIS PORTFOLIO/EXCEL/"/>
    </mc:Choice>
  </mc:AlternateContent>
  <xr:revisionPtr revIDLastSave="12" documentId="8_{246441AB-76DD-4511-B14C-13A13AD5C4C1}" xr6:coauthVersionLast="47" xr6:coauthVersionMax="47" xr10:uidLastSave="{E5AC4AC9-B760-4524-8214-3ABBE5DF6CA1}"/>
  <bookViews>
    <workbookView xWindow="-108" yWindow="-108" windowWidth="23256" windowHeight="12456" xr2:uid="{FC74DCAA-EEDD-4BCA-BB5B-F70C9216E3DC}"/>
  </bookViews>
  <sheets>
    <sheet name="DASH BOARD" sheetId="3" r:id="rId1"/>
    <sheet name="kpi" sheetId="2" r:id="rId2"/>
    <sheet name="Sheet5" sheetId="5" r:id="rId3"/>
  </sheets>
  <definedNames>
    <definedName name="_xlnm._FilterDatabase" localSheetId="1" hidden="1">kpi!$H$56:$H$63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26" i="2" l="1"/>
  <c r="E127" i="2"/>
  <c r="N28" i="2"/>
  <c r="N27" i="2"/>
</calcChain>
</file>

<file path=xl/sharedStrings.xml><?xml version="1.0" encoding="utf-8"?>
<sst xmlns="http://schemas.openxmlformats.org/spreadsheetml/2006/main" count="941" uniqueCount="473">
  <si>
    <t># total_customer</t>
  </si>
  <si>
    <t>total_active_customer</t>
  </si>
  <si>
    <t>total_active_account</t>
  </si>
  <si>
    <t>total_balance</t>
  </si>
  <si>
    <t>successful_transaction</t>
  </si>
  <si>
    <t># gender</t>
  </si>
  <si>
    <t>customers</t>
  </si>
  <si>
    <t>percentage</t>
  </si>
  <si>
    <t>Male</t>
  </si>
  <si>
    <t>Female</t>
  </si>
  <si>
    <t># acquisition_year</t>
  </si>
  <si>
    <t>new_customers</t>
  </si>
  <si>
    <t># month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</si>
  <si>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</si>
  <si>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</si>
  <si>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</si>
  <si>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</si>
  <si>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</si>
  <si>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</si>
  <si>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</si>
  <si>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</si>
  <si>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</si>
  <si>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</si>
  <si>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</si>
  <si>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</si>
  <si>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</si>
  <si>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</si>
  <si>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</si>
  <si>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</si>
  <si>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</si>
  <si>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</si>
  <si>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</si>
  <si>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</si>
  <si>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</si>
  <si>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</si>
  <si>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</si>
  <si>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</si>
  <si>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</si>
  <si>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</si>
  <si>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</si>
  <si>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</si>
  <si>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</si>
  <si>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</si>
  <si>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</si>
  <si>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</si>
  <si>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</si>
  <si>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</si>
  <si>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</si>
  <si>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</si>
  <si>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</si>
  <si>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</si>
  <si>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</si>
  <si>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</si>
  <si>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</si>
  <si>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</si>
  <si>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</si>
  <si>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</si>
  <si>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</si>
  <si>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</si>
  <si>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</si>
  <si>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</si>
  <si>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</si>
  <si>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</si>
  <si>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</si>
  <si>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</si>
  <si>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</si>
  <si>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</si>
  <si>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</si>
  <si>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</si>
  <si>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</si>
  <si>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</si>
  <si>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</si>
  <si>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</si>
  <si>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</si>
  <si>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</si>
  <si>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</si>
  <si>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</si>
  <si>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</si>
  <si>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</si>
  <si>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</si>
  <si>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</si>
  <si>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</si>
  <si>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</si>
  <si>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</si>
  <si>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</si>
  <si>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</si>
  <si>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</si>
  <si>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</si>
  <si>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</si>
  <si>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</si>
  <si>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</si>
  <si>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</si>
  <si>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</si>
  <si>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</si>
  <si>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</si>
  <si>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</si>
  <si>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</si>
  <si>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</si>
  <si>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</si>
  <si>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</si>
  <si>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</si>
  <si>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</si>
  <si>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</si>
  <si>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</si>
  <si>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</si>
  <si>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</si>
  <si>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</si>
  <si>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</si>
  <si>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</si>
  <si>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</si>
  <si>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</si>
  <si>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</si>
  <si>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</si>
  <si>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</si>
  <si>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</si>
  <si>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</si>
  <si>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</si>
  <si>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</si>
  <si>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</si>
  <si>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</si>
  <si>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</si>
  <si>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</si>
  <si>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</si>
  <si>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</si>
  <si>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</si>
  <si>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</si>
  <si>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</si>
  <si>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</si>
  <si>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</si>
  <si>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# state</t>
  </si>
  <si>
    <t>customer_share</t>
  </si>
  <si>
    <t>Lagos</t>
  </si>
  <si>
    <t>Borno</t>
  </si>
  <si>
    <t>Enugu</t>
  </si>
  <si>
    <t>Abia</t>
  </si>
  <si>
    <t>Kaduna</t>
  </si>
  <si>
    <t>Anambra</t>
  </si>
  <si>
    <t>Edo</t>
  </si>
  <si>
    <t>Akwa Ibom</t>
  </si>
  <si>
    <t>Kwara</t>
  </si>
  <si>
    <t>Ondo</t>
  </si>
  <si>
    <t>Imo</t>
  </si>
  <si>
    <t>Plateau</t>
  </si>
  <si>
    <t>Sokoto</t>
  </si>
  <si>
    <t>Delta</t>
  </si>
  <si>
    <t>Rivers</t>
  </si>
  <si>
    <t>Kano</t>
  </si>
  <si>
    <t>Ogun</t>
  </si>
  <si>
    <t>FCT</t>
  </si>
  <si>
    <t>Oyo</t>
  </si>
  <si>
    <t>Cross River</t>
  </si>
  <si>
    <t># account_status</t>
  </si>
  <si>
    <t>accounts</t>
  </si>
  <si>
    <t>average_balance</t>
  </si>
  <si>
    <t>Active</t>
  </si>
  <si>
    <t>Dormant</t>
  </si>
  <si>
    <t>Pending</t>
  </si>
  <si>
    <t>Blocked</t>
  </si>
  <si>
    <t>Closed</t>
  </si>
  <si>
    <t># dormant_accounts</t>
  </si>
  <si>
    <t>dormant_balance</t>
  </si>
  <si>
    <t>average_dormant_balance</t>
  </si>
  <si>
    <t># account_number</t>
  </si>
  <si>
    <t>customer_id</t>
  </si>
  <si>
    <t>balance</t>
  </si>
  <si>
    <t># transaction_type</t>
  </si>
  <si>
    <t>transaction_count</t>
  </si>
  <si>
    <t>transaction_value</t>
  </si>
  <si>
    <t>average_transaction</t>
  </si>
  <si>
    <t>Deposit</t>
  </si>
  <si>
    <t>Withdrawal</t>
  </si>
  <si>
    <t>Transfer In</t>
  </si>
  <si>
    <t>Transfer Out</t>
  </si>
  <si>
    <t>Payment</t>
  </si>
  <si>
    <t>Loan Repayment</t>
  </si>
  <si>
    <t>Fee</t>
  </si>
  <si>
    <t>Mortgage Payment</t>
  </si>
  <si>
    <t>Interest</t>
  </si>
  <si>
    <t>Adjustment</t>
  </si>
  <si>
    <t># status</t>
  </si>
  <si>
    <t>Successful</t>
  </si>
  <si>
    <t>Failed</t>
  </si>
  <si>
    <t>Reversed</t>
  </si>
  <si>
    <t># channel</t>
  </si>
  <si>
    <t>transactions</t>
  </si>
  <si>
    <t>value_share</t>
  </si>
  <si>
    <t>ATM</t>
  </si>
  <si>
    <t>Mobile</t>
  </si>
  <si>
    <t>Branch</t>
  </si>
  <si>
    <t>Online</t>
  </si>
  <si>
    <t>POS</t>
  </si>
  <si>
    <t>USSD</t>
  </si>
  <si>
    <t>System</t>
  </si>
  <si>
    <t># loan_status</t>
  </si>
  <si>
    <t>loans</t>
  </si>
  <si>
    <t>principal_amount</t>
  </si>
  <si>
    <t>outstanding_balance</t>
  </si>
  <si>
    <t>average_interest_rate</t>
  </si>
  <si>
    <t>Approved</t>
  </si>
  <si>
    <t>Defaulted</t>
  </si>
  <si>
    <t>Paid</t>
  </si>
  <si>
    <t>Rejected</t>
  </si>
  <si>
    <t>Cancelled</t>
  </si>
  <si>
    <t># loan_type</t>
  </si>
  <si>
    <t>total_loans</t>
  </si>
  <si>
    <t>total_principal</t>
  </si>
  <si>
    <t>total_payable</t>
  </si>
  <si>
    <t>avg_interest_rate</t>
  </si>
  <si>
    <t>defaulted_loans</t>
  </si>
  <si>
    <t>default_rate</t>
  </si>
  <si>
    <t>Mortgage</t>
  </si>
  <si>
    <t>Business</t>
  </si>
  <si>
    <t>Other</t>
  </si>
  <si>
    <t>Agricultural</t>
  </si>
  <si>
    <t>Personal</t>
  </si>
  <si>
    <t>Auto</t>
  </si>
  <si>
    <t>Education</t>
  </si>
  <si>
    <t># loan_number</t>
  </si>
  <si>
    <t>loan_type</t>
  </si>
  <si>
    <t>interest_rate</t>
  </si>
  <si>
    <t>maturity_date</t>
  </si>
  <si>
    <t>loan_status</t>
  </si>
  <si>
    <t>LN00000376</t>
  </si>
  <si>
    <t>LN00000468</t>
  </si>
  <si>
    <t>LN00000909</t>
  </si>
  <si>
    <t>LN00001106</t>
  </si>
  <si>
    <t>LN00000249</t>
  </si>
  <si>
    <t>LN00001460</t>
  </si>
  <si>
    <t>LN00001437</t>
  </si>
  <si>
    <t>LN00001597</t>
  </si>
  <si>
    <t>LN00001434</t>
  </si>
  <si>
    <t>LN00000492</t>
  </si>
  <si>
    <t>LN00001290</t>
  </si>
  <si>
    <t>LN00001009</t>
  </si>
  <si>
    <t>LN00001075</t>
  </si>
  <si>
    <t>LN00001405</t>
  </si>
  <si>
    <t>LN00001071</t>
  </si>
  <si>
    <t>LN00001129</t>
  </si>
  <si>
    <t>LN00001792</t>
  </si>
  <si>
    <t>LN00001553</t>
  </si>
  <si>
    <t>LN00001786</t>
  </si>
  <si>
    <t>LN00001738</t>
  </si>
  <si>
    <t>LN00001375</t>
  </si>
  <si>
    <t>LN00000157</t>
  </si>
  <si>
    <t>LN00000019</t>
  </si>
  <si>
    <t>LN00000741</t>
  </si>
  <si>
    <t>LN00001706</t>
  </si>
  <si>
    <t>LN00001300</t>
  </si>
  <si>
    <t>LN00000961</t>
  </si>
  <si>
    <t>LN00000114</t>
  </si>
  <si>
    <t>LN00001508</t>
  </si>
  <si>
    <t>LN00000434</t>
  </si>
  <si>
    <t>LN00000067</t>
  </si>
  <si>
    <t>LN00000933</t>
  </si>
  <si>
    <t>LN00001195</t>
  </si>
  <si>
    <t>LN00000910</t>
  </si>
  <si>
    <t>LN00000602</t>
  </si>
  <si>
    <t>LN00001720</t>
  </si>
  <si>
    <t>LN00001757</t>
  </si>
  <si>
    <t>LN00000799</t>
  </si>
  <si>
    <t>LN00000260</t>
  </si>
  <si>
    <t>LN00000998</t>
  </si>
  <si>
    <t>LN00000815</t>
  </si>
  <si>
    <t>LN00001081</t>
  </si>
  <si>
    <t>LN00001306</t>
  </si>
  <si>
    <t>LN00000788</t>
  </si>
  <si>
    <t>LN00001157</t>
  </si>
  <si>
    <t>LN00000694</t>
  </si>
  <si>
    <t>LN00001251</t>
  </si>
  <si>
    <t>LN00000728</t>
  </si>
  <si>
    <t>LN00001275</t>
  </si>
  <si>
    <t>LN00001320</t>
  </si>
  <si>
    <t>LN00000447</t>
  </si>
  <si>
    <t>LN00001467</t>
  </si>
  <si>
    <t>LN00001634</t>
  </si>
  <si>
    <t>LN00001746</t>
  </si>
  <si>
    <t>LN00001771</t>
  </si>
  <si>
    <t>LN00000436</t>
  </si>
  <si>
    <t>LN00001014</t>
  </si>
  <si>
    <t>LN00001137</t>
  </si>
  <si>
    <t>LN00000350</t>
  </si>
  <si>
    <t>LN00000464</t>
  </si>
  <si>
    <t>LN00001342</t>
  </si>
  <si>
    <t>LN00000205</t>
  </si>
  <si>
    <t>LN00000201</t>
  </si>
  <si>
    <t>LN00000735</t>
  </si>
  <si>
    <t>LN00001161</t>
  </si>
  <si>
    <t>LN00001177</t>
  </si>
  <si>
    <t>LN00000983</t>
  </si>
  <si>
    <t>LN00000739</t>
  </si>
  <si>
    <t>LN00000535</t>
  </si>
  <si>
    <t>LN00000220</t>
  </si>
  <si>
    <t>LN00001361</t>
  </si>
  <si>
    <t>LN00000937</t>
  </si>
  <si>
    <t>LN00000252</t>
  </si>
  <si>
    <t>LN00001002</t>
  </si>
  <si>
    <t>LN00000710</t>
  </si>
  <si>
    <t>LN00001863</t>
  </si>
  <si>
    <t>LN00000899</t>
  </si>
  <si>
    <t>LN00001331</t>
  </si>
  <si>
    <t>LN00001529</t>
  </si>
  <si>
    <t>LN00001396</t>
  </si>
  <si>
    <t>LN00000604</t>
  </si>
  <si>
    <t>LN00001785</t>
  </si>
  <si>
    <t>LN00000345</t>
  </si>
  <si>
    <t>LN00001201</t>
  </si>
  <si>
    <t>LN00001673</t>
  </si>
  <si>
    <t>LN00001494</t>
  </si>
  <si>
    <t>LN00001556</t>
  </si>
  <si>
    <t>LN00000790</t>
  </si>
  <si>
    <t>LN00001742</t>
  </si>
  <si>
    <t>LN00001282</t>
  </si>
  <si>
    <t>LN00001424</t>
  </si>
  <si>
    <t>LN00001031</t>
  </si>
  <si>
    <t>LN00001024</t>
  </si>
  <si>
    <t>LN00001313</t>
  </si>
  <si>
    <t>LN00001543</t>
  </si>
  <si>
    <t>LN00001345</t>
  </si>
  <si>
    <t>LN00000839</t>
  </si>
  <si>
    <t>LN00000106</t>
  </si>
  <si>
    <t>LN00000195</t>
  </si>
  <si>
    <t>LN00001419</t>
  </si>
  <si>
    <t>LN00001492</t>
  </si>
  <si>
    <t>LN00000305</t>
  </si>
  <si>
    <t>LN00000373</t>
  </si>
  <si>
    <t>LN00000738</t>
  </si>
  <si>
    <t>LN00000112</t>
  </si>
  <si>
    <t>LN00001875</t>
  </si>
  <si>
    <t>LN00001615</t>
  </si>
  <si>
    <t>LN00000282</t>
  </si>
  <si>
    <t>LN00000503</t>
  </si>
  <si>
    <t>LN00001212</t>
  </si>
  <si>
    <t>LN00001504</t>
  </si>
  <si>
    <t>LN00000289</t>
  </si>
  <si>
    <t>LN00001563</t>
  </si>
  <si>
    <t>LN00001885</t>
  </si>
  <si>
    <t>LN00001845</t>
  </si>
  <si>
    <t>LN00001709</t>
  </si>
  <si>
    <t>LN00001497</t>
  </si>
  <si>
    <t>LN00000304</t>
  </si>
  <si>
    <t>LN00000290</t>
  </si>
  <si>
    <t>LN00000588</t>
  </si>
  <si>
    <t>LN00001456</t>
  </si>
  <si>
    <t>LN00001754</t>
  </si>
  <si>
    <t>LN00001453</t>
  </si>
  <si>
    <t>LN00000258</t>
  </si>
  <si>
    <t>LN00000306</t>
  </si>
  <si>
    <t>LN00001940</t>
  </si>
  <si>
    <t>LN00000893</t>
  </si>
  <si>
    <t>LN00001787</t>
  </si>
  <si>
    <t>LN00001857</t>
  </si>
  <si>
    <t>LN00000417</t>
  </si>
  <si>
    <t>LN00000299</t>
  </si>
  <si>
    <t>LN00001080</t>
  </si>
  <si>
    <t>LN00001383</t>
  </si>
  <si>
    <t>LN00001324</t>
  </si>
  <si>
    <t>LN00001685</t>
  </si>
  <si>
    <t>LN00000905</t>
  </si>
  <si>
    <t>LN00001289</t>
  </si>
  <si>
    <t>LN00001232</t>
  </si>
  <si>
    <t>LN00000904</t>
  </si>
  <si>
    <t>LN00001037</t>
  </si>
  <si>
    <t>LN00000870</t>
  </si>
  <si>
    <t>LN00000897</t>
  </si>
  <si>
    <t>LN00001927</t>
  </si>
  <si>
    <t>LN00000003</t>
  </si>
  <si>
    <t>LN00000207</t>
  </si>
  <si>
    <t>LN00001848</t>
  </si>
  <si>
    <t>LN00001297</t>
  </si>
  <si>
    <t>LN00001847</t>
  </si>
  <si>
    <t>LN00000880</t>
  </si>
  <si>
    <t>LN00000589</t>
  </si>
  <si>
    <t>LN00001519</t>
  </si>
  <si>
    <t>LN00000381</t>
  </si>
  <si>
    <t>LN00000764</t>
  </si>
  <si>
    <t>LN00001173</t>
  </si>
  <si>
    <t>LN00000954</t>
  </si>
  <si>
    <t>LN00001030</t>
  </si>
  <si>
    <t>LN00001330</t>
  </si>
  <si>
    <t>LN00001708</t>
  </si>
  <si>
    <t>LN00001303</t>
  </si>
  <si>
    <t>LN00001445</t>
  </si>
  <si>
    <t>LN00000643</t>
  </si>
  <si>
    <t>LN00001386</t>
  </si>
  <si>
    <t>LN00000979</t>
  </si>
  <si>
    <t>LN00000475</t>
  </si>
  <si>
    <t>portfolio_share</t>
  </si>
  <si>
    <t># payment_method</t>
  </si>
  <si>
    <t>payments</t>
  </si>
  <si>
    <t>payment_value</t>
  </si>
  <si>
    <t>principal_paid</t>
  </si>
  <si>
    <t>interest_paid</t>
  </si>
  <si>
    <t>penalties</t>
  </si>
  <si>
    <t>Account Debit</t>
  </si>
  <si>
    <t>Transfer</t>
  </si>
  <si>
    <t>Cash</t>
  </si>
  <si>
    <t>Card</t>
  </si>
  <si>
    <t># loan_interest_income</t>
  </si>
  <si>
    <t>penalty_income</t>
  </si>
  <si>
    <t>total_loan_payments</t>
  </si>
  <si>
    <t># mortgage_interest_income</t>
  </si>
  <si>
    <t>total_mortgage_payments</t>
  </si>
  <si>
    <t># transaction_fee_income</t>
  </si>
  <si>
    <t># transfer_fee_income</t>
  </si>
  <si>
    <t>customer_name</t>
  </si>
  <si>
    <t>Obinna Obi</t>
  </si>
  <si>
    <t>Hauwa Idris</t>
  </si>
  <si>
    <t>Sadiq Adeyemi</t>
  </si>
  <si>
    <t>Bisi Eze</t>
  </si>
  <si>
    <t>Temitope Lawal</t>
  </si>
  <si>
    <t>Kunle Nwachukwu</t>
  </si>
  <si>
    <t>Blessing Yusuf</t>
  </si>
  <si>
    <t>Segun Ogunleye</t>
  </si>
  <si>
    <t>Nnamdi Suleiman</t>
  </si>
  <si>
    <t>Tunde Ogunleye</t>
  </si>
  <si>
    <t>Nkechi Afolabi</t>
  </si>
  <si>
    <t>Bashir Adebayo</t>
  </si>
  <si>
    <t>Fatima Adeyemi</t>
  </si>
  <si>
    <t>Tunde Okafor</t>
  </si>
  <si>
    <t>Halima Nwachukwu</t>
  </si>
  <si>
    <t>Chinedu Abubakar</t>
  </si>
  <si>
    <t>Chukwuma Suleiman</t>
  </si>
  <si>
    <t>Nkechi Abubakar</t>
  </si>
  <si>
    <t>Emeka Balogun</t>
  </si>
  <si>
    <t>Chioma Obi</t>
  </si>
  <si>
    <t>Ngozi Uzoma</t>
  </si>
  <si>
    <t>Amaka Yusuf</t>
  </si>
  <si>
    <t>Temitope Okafor</t>
  </si>
  <si>
    <t>Chukwuma Idris</t>
  </si>
  <si>
    <t>Ifeanyi Danjuma</t>
  </si>
  <si>
    <t>Chioma Balogun</t>
  </si>
  <si>
    <t>Blessing Eze</t>
  </si>
  <si>
    <t>Ayodele Afolabi</t>
  </si>
  <si>
    <t>Yakubu Abubakar</t>
  </si>
  <si>
    <t>Obinna Yusuf</t>
  </si>
  <si>
    <t>Femi Danjuma</t>
  </si>
  <si>
    <t>Damilola Adeyemi</t>
  </si>
  <si>
    <t>Bello Ogunleye</t>
  </si>
  <si>
    <t>Amaka Eze</t>
  </si>
  <si>
    <t>Olumide Yusuf</t>
  </si>
  <si>
    <t>Ngozi Eze</t>
  </si>
  <si>
    <t>Amaka Nwachukwu</t>
  </si>
  <si>
    <t>Ifeoma Suleiman</t>
  </si>
  <si>
    <t>Grace Ogunleye</t>
  </si>
  <si>
    <t>Oluwaseun Nwachukwu</t>
  </si>
  <si>
    <t>Musa Danjuma</t>
  </si>
  <si>
    <t>Ngozi Balogun</t>
  </si>
  <si>
    <t>Olumide Adeyemi</t>
  </si>
  <si>
    <t>Yewande Suleiman</t>
  </si>
  <si>
    <t>Kelechi Eze</t>
  </si>
  <si>
    <t>Ngozi Ibrahim</t>
  </si>
  <si>
    <t>Bello Adeyemi</t>
  </si>
  <si>
    <t>Chinedu Chukwu</t>
  </si>
  <si>
    <t>Rukayat Bello</t>
  </si>
  <si>
    <t xml:space="preserve"> customer_id</t>
  </si>
  <si>
    <t>BANK MANAGEMENT ANALYTICS DASHBOARD</t>
  </si>
  <si>
    <t>EXECUTIVE OVERVIEW</t>
  </si>
  <si>
    <t>=</t>
  </si>
  <si>
    <t>TOTAL DEPOSIT</t>
  </si>
  <si>
    <t>4105B</t>
  </si>
  <si>
    <t># total_customers</t>
  </si>
  <si>
    <t>active_customers</t>
  </si>
  <si>
    <t>total_accounts</t>
  </si>
  <si>
    <t>active_accounts</t>
  </si>
  <si>
    <t>total_deposits</t>
  </si>
  <si>
    <t>successful_transaction_value</t>
  </si>
  <si>
    <t>successful_transactions</t>
  </si>
  <si>
    <t>total_loan_principal</t>
  </si>
  <si>
    <t>outstanding_loans</t>
  </si>
  <si>
    <t>TOTAL</t>
  </si>
  <si>
    <t>AVERAGE</t>
  </si>
  <si>
    <t>HIGHEST</t>
  </si>
  <si>
    <t>ACTIVE ACCOUNT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</si>
</sst>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,,"/>
    <numFmt numFmtId="165" formatCode="0,,&quot;B&quot;"/>
    <numFmt numFmtId="166" formatCode="0.000,,,&quot;B&quot;"/>
    <numFmt numFmtId="167" formatCode="0,,&quot;M&quot;"/>
    <numFmt numFmtId="168" formatCode="0,,&quot;'M&quot;"/>
  </numFmts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8"/>
      <color theme="4"/>
      <name val="Aptos Narrow"/>
      <family val="2"/>
      <scheme val="minor"/>
    </font>
    <font>
      <b/>
      <sz val="11"/>
      <color theme="1"/>
      <name val="Aptos Narrow"/>
      <scheme val="minor"/>
    </font>
    <font>
      <sz val="22"/>
      <color theme="3"/>
      <name val="Aptos Narrow"/>
      <family val="2"/>
      <scheme val="minor"/>
    </font>
    <font>
      <sz val="2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2" borderId="0" xfId="0" applyFill="1"/>
    <xf numFmtId="0" fontId="0" fillId="3" borderId="0" xfId="0" applyFill="1"/>
    <xf numFmtId="0" fontId="0" fillId="3" borderId="1" xfId="0" applyFill="1" applyBorder="1"/>
    <xf numFmtId="0" fontId="2" fillId="3" borderId="0" xfId="0" applyFont="1" applyFill="1"/>
    <xf numFmtId="0" fontId="3" fillId="3" borderId="1" xfId="0" applyFont="1" applyFill="1" applyBorder="1"/>
    <xf numFmtId="0" fontId="2" fillId="3" borderId="1" xfId="0" applyFont="1" applyFill="1" applyBorder="1"/>
    <xf numFmtId="0" fontId="4" fillId="2" borderId="0" xfId="0" applyFont="1" applyFill="1"/>
    <xf numFmtId="0" fontId="4" fillId="0" borderId="0" xfId="0" applyFont="1"/>
    <xf numFmtId="164" fontId="0" fillId="0" borderId="0" xfId="0" applyNumberFormat="1"/>
    <xf numFmtId="165" fontId="0" fillId="0" borderId="0" xfId="0" applyNumberFormat="1"/>
    <xf numFmtId="0" fontId="5" fillId="3" borderId="0" xfId="0" applyFont="1" applyFill="1"/>
    <xf numFmtId="0" fontId="6" fillId="3" borderId="0" xfId="0" applyFont="1" applyFill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Distribution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kpi!$B$4</c:f>
              <c:strCache>
                <c:ptCount val="1"/>
                <c:pt idx="0">
                  <c:v>customers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DA3-42C0-B08C-5C090B7070A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DA3-42C0-B08C-5C090B7070A8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kpi!$A$5:$A$6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kpi!$B$5:$B$6</c:f>
              <c:numCache>
                <c:formatCode>General</c:formatCode>
                <c:ptCount val="2"/>
                <c:pt idx="0">
                  <c:v>989</c:v>
                </c:pt>
                <c:pt idx="1">
                  <c:v>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DA3-42C0-B08C-5C090B7070A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Account</a:t>
            </a:r>
            <a:r>
              <a:rPr lang="en-US" baseline="0"/>
              <a:t> Status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kpi!$H$1</c:f>
              <c:strCache>
                <c:ptCount val="1"/>
                <c:pt idx="0">
                  <c:v>accounts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319-4120-B745-DCD135846E7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319-4120-B745-DCD135846E7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319-4120-B745-DCD135846E7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319-4120-B745-DCD135846E7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319-4120-B745-DCD135846E7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kpi!$G$2:$G$6</c:f>
              <c:strCache>
                <c:ptCount val="5"/>
                <c:pt idx="0">
                  <c:v>Active</c:v>
                </c:pt>
                <c:pt idx="1">
                  <c:v>Dormant</c:v>
                </c:pt>
                <c:pt idx="2">
                  <c:v>Pending</c:v>
                </c:pt>
                <c:pt idx="3">
                  <c:v>Blocked</c:v>
                </c:pt>
                <c:pt idx="4">
                  <c:v>Closed</c:v>
                </c:pt>
              </c:strCache>
            </c:strRef>
          </c:cat>
          <c:val>
            <c:numRef>
              <c:f>kpi!$H$2:$H$6</c:f>
              <c:numCache>
                <c:formatCode>General</c:formatCode>
                <c:ptCount val="5"/>
                <c:pt idx="0">
                  <c:v>1609</c:v>
                </c:pt>
                <c:pt idx="1">
                  <c:v>167</c:v>
                </c:pt>
                <c:pt idx="2">
                  <c:v>82</c:v>
                </c:pt>
                <c:pt idx="3">
                  <c:v>60</c:v>
                </c:pt>
                <c:pt idx="4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319-4120-B745-DCD135846E7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  <c:extLst>
          <c:ext xmlns:c15="http://schemas.microsoft.com/office/drawing/2012/chart" uri="{02D57815-91ED-43cb-92C2-25804820EDAC}">
            <c15:filteredPi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kpi!$I$1</c15:sqref>
                        </c15:formulaRef>
                      </c:ext>
                    </c:extLst>
                    <c:strCache>
                      <c:ptCount val="1"/>
                      <c:pt idx="0">
                        <c:v>total_balance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C-B319-4120-B745-DCD135846E74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E-B319-4120-B745-DCD135846E74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0-B319-4120-B745-DCD135846E74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2-B319-4120-B745-DCD135846E74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4-B319-4120-B745-DCD135846E74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kpi!$G$2:$G$6</c15:sqref>
                        </c15:formulaRef>
                      </c:ext>
                    </c:extLst>
                    <c:strCache>
                      <c:ptCount val="5"/>
                      <c:pt idx="0">
                        <c:v>Active</c:v>
                      </c:pt>
                      <c:pt idx="1">
                        <c:v>Dormant</c:v>
                      </c:pt>
                      <c:pt idx="2">
                        <c:v>Pending</c:v>
                      </c:pt>
                      <c:pt idx="3">
                        <c:v>Blocked</c:v>
                      </c:pt>
                      <c:pt idx="4">
                        <c:v>Closed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kpi!$I$2:$I$6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3419163764.7600002</c:v>
                      </c:pt>
                      <c:pt idx="1">
                        <c:v>372238279.38</c:v>
                      </c:pt>
                      <c:pt idx="2">
                        <c:v>180641821.40000001</c:v>
                      </c:pt>
                      <c:pt idx="3">
                        <c:v>121527066.2</c:v>
                      </c:pt>
                      <c:pt idx="4">
                        <c:v>11238307.5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5-B319-4120-B745-DCD135846E74}"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kpi!$J$1</c15:sqref>
                        </c15:formulaRef>
                      </c:ext>
                    </c:extLst>
                    <c:strCache>
                      <c:ptCount val="1"/>
                      <c:pt idx="0">
                        <c:v>average_balance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B319-4120-B745-DCD135846E74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B319-4120-B745-DCD135846E74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B-B319-4120-B745-DCD135846E74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D-B319-4120-B745-DCD135846E74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F-B319-4120-B745-DCD135846E74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kpi!$G$2:$G$6</c15:sqref>
                        </c15:formulaRef>
                      </c:ext>
                    </c:extLst>
                    <c:strCache>
                      <c:ptCount val="5"/>
                      <c:pt idx="0">
                        <c:v>Active</c:v>
                      </c:pt>
                      <c:pt idx="1">
                        <c:v>Dormant</c:v>
                      </c:pt>
                      <c:pt idx="2">
                        <c:v>Pending</c:v>
                      </c:pt>
                      <c:pt idx="3">
                        <c:v>Blocked</c:v>
                      </c:pt>
                      <c:pt idx="4">
                        <c:v>Closed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kpi!$J$2:$J$6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2125024.0924550002</c:v>
                      </c:pt>
                      <c:pt idx="1">
                        <c:v>2228971.732814</c:v>
                      </c:pt>
                      <c:pt idx="2">
                        <c:v>2202949.0414629998</c:v>
                      </c:pt>
                      <c:pt idx="3">
                        <c:v>2025451.1033330001</c:v>
                      </c:pt>
                      <c:pt idx="4">
                        <c:v>137052.53048799999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0-B319-4120-B745-DCD135846E74}"/>
                  </c:ext>
                </c:extLst>
              </c15:ser>
            </c15:filteredPieSeries>
          </c:ext>
        </c:extLst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Customers</a:t>
            </a:r>
            <a:r>
              <a:rPr lang="en-US" baseline="0"/>
              <a:t> B	y State(Top 10)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kpi!$H$8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kpi!$G$9:$G$28</c:f>
              <c:strCache>
                <c:ptCount val="20"/>
                <c:pt idx="0">
                  <c:v>Lagos</c:v>
                </c:pt>
                <c:pt idx="1">
                  <c:v>Borno</c:v>
                </c:pt>
                <c:pt idx="2">
                  <c:v>Enugu</c:v>
                </c:pt>
                <c:pt idx="3">
                  <c:v>Abia</c:v>
                </c:pt>
                <c:pt idx="4">
                  <c:v>Kaduna</c:v>
                </c:pt>
                <c:pt idx="5">
                  <c:v>Anambra</c:v>
                </c:pt>
                <c:pt idx="6">
                  <c:v>Edo</c:v>
                </c:pt>
                <c:pt idx="7">
                  <c:v>Akwa Ibom</c:v>
                </c:pt>
                <c:pt idx="8">
                  <c:v>Kwara</c:v>
                </c:pt>
                <c:pt idx="9">
                  <c:v>Ondo</c:v>
                </c:pt>
                <c:pt idx="10">
                  <c:v>Imo</c:v>
                </c:pt>
                <c:pt idx="11">
                  <c:v>Plateau</c:v>
                </c:pt>
                <c:pt idx="12">
                  <c:v>Sokoto</c:v>
                </c:pt>
                <c:pt idx="13">
                  <c:v>Delta</c:v>
                </c:pt>
                <c:pt idx="14">
                  <c:v>Rivers</c:v>
                </c:pt>
                <c:pt idx="15">
                  <c:v>Kano</c:v>
                </c:pt>
                <c:pt idx="16">
                  <c:v>Ogun</c:v>
                </c:pt>
                <c:pt idx="17">
                  <c:v>FCT</c:v>
                </c:pt>
                <c:pt idx="18">
                  <c:v>Oyo</c:v>
                </c:pt>
                <c:pt idx="19">
                  <c:v>Cross River</c:v>
                </c:pt>
              </c:strCache>
            </c:strRef>
          </c:cat>
          <c:val>
            <c:numRef>
              <c:f>kpi!$H$9:$H$28</c:f>
              <c:numCache>
                <c:formatCode>General</c:formatCode>
                <c:ptCount val="20"/>
                <c:pt idx="0">
                  <c:v>272</c:v>
                </c:pt>
                <c:pt idx="1">
                  <c:v>110</c:v>
                </c:pt>
                <c:pt idx="2">
                  <c:v>104</c:v>
                </c:pt>
                <c:pt idx="3">
                  <c:v>99</c:v>
                </c:pt>
                <c:pt idx="4">
                  <c:v>99</c:v>
                </c:pt>
                <c:pt idx="5">
                  <c:v>95</c:v>
                </c:pt>
                <c:pt idx="6">
                  <c:v>94</c:v>
                </c:pt>
                <c:pt idx="7">
                  <c:v>93</c:v>
                </c:pt>
                <c:pt idx="8">
                  <c:v>93</c:v>
                </c:pt>
                <c:pt idx="9">
                  <c:v>93</c:v>
                </c:pt>
                <c:pt idx="10">
                  <c:v>92</c:v>
                </c:pt>
                <c:pt idx="11">
                  <c:v>92</c:v>
                </c:pt>
                <c:pt idx="12">
                  <c:v>91</c:v>
                </c:pt>
                <c:pt idx="13">
                  <c:v>87</c:v>
                </c:pt>
                <c:pt idx="14">
                  <c:v>87</c:v>
                </c:pt>
                <c:pt idx="15">
                  <c:v>86</c:v>
                </c:pt>
                <c:pt idx="16">
                  <c:v>80</c:v>
                </c:pt>
                <c:pt idx="17">
                  <c:v>80</c:v>
                </c:pt>
                <c:pt idx="18">
                  <c:v>79</c:v>
                </c:pt>
                <c:pt idx="19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1E-46E1-B0EB-D1FA296474E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71580240"/>
        <c:axId val="871581904"/>
      </c:barChart>
      <c:catAx>
        <c:axId val="87158024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1581904"/>
        <c:crosses val="autoZero"/>
        <c:auto val="1"/>
        <c:lblAlgn val="ctr"/>
        <c:lblOffset val="100"/>
        <c:noMultiLvlLbl val="0"/>
      </c:catAx>
      <c:valAx>
        <c:axId val="871581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1580240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Successful</a:t>
            </a:r>
            <a:r>
              <a:rPr lang="en-US" baseline="0"/>
              <a:t> Transaction By Channel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kpi!$Q$6</c:f>
              <c:strCache>
                <c:ptCount val="1"/>
                <c:pt idx="0">
                  <c:v>transactions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DEF-4BB6-AE23-7BFA7689080E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DEF-4BB6-AE23-7BFA7689080E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DEF-4BB6-AE23-7BFA7689080E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DEF-4BB6-AE23-7BFA7689080E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DEF-4BB6-AE23-7BFA7689080E}"/>
              </c:ext>
            </c:extLst>
          </c:dPt>
          <c:dPt>
            <c:idx val="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DEF-4BB6-AE23-7BFA7689080E}"/>
              </c:ext>
            </c:extLst>
          </c:dPt>
          <c:dPt>
            <c:idx val="6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DEF-4BB6-AE23-7BFA7689080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kpi!$P$7:$P$13</c:f>
              <c:strCache>
                <c:ptCount val="7"/>
                <c:pt idx="0">
                  <c:v>ATM</c:v>
                </c:pt>
                <c:pt idx="1">
                  <c:v>Mobile</c:v>
                </c:pt>
                <c:pt idx="2">
                  <c:v>Branch</c:v>
                </c:pt>
                <c:pt idx="3">
                  <c:v>Online</c:v>
                </c:pt>
                <c:pt idx="4">
                  <c:v>POS</c:v>
                </c:pt>
                <c:pt idx="5">
                  <c:v>USSD</c:v>
                </c:pt>
                <c:pt idx="6">
                  <c:v>System</c:v>
                </c:pt>
              </c:strCache>
            </c:strRef>
          </c:cat>
          <c:val>
            <c:numRef>
              <c:f>kpi!$Q$7:$Q$13</c:f>
              <c:numCache>
                <c:formatCode>General</c:formatCode>
                <c:ptCount val="7"/>
                <c:pt idx="0">
                  <c:v>343</c:v>
                </c:pt>
                <c:pt idx="1">
                  <c:v>369</c:v>
                </c:pt>
                <c:pt idx="2">
                  <c:v>328</c:v>
                </c:pt>
                <c:pt idx="3">
                  <c:v>296</c:v>
                </c:pt>
                <c:pt idx="4">
                  <c:v>239</c:v>
                </c:pt>
                <c:pt idx="5">
                  <c:v>145</c:v>
                </c:pt>
                <c:pt idx="6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DEF-4BB6-AE23-7BFA768908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Successful</a:t>
            </a:r>
            <a:r>
              <a:rPr lang="en-US" baseline="0"/>
              <a:t> Transaction By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kpi!$I$30</c:f>
              <c:strCache>
                <c:ptCount val="1"/>
                <c:pt idx="0">
                  <c:v>transaction_value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kpi!$G$31:$G$40</c:f>
              <c:strCache>
                <c:ptCount val="10"/>
                <c:pt idx="0">
                  <c:v>Deposit</c:v>
                </c:pt>
                <c:pt idx="1">
                  <c:v>Withdrawal</c:v>
                </c:pt>
                <c:pt idx="2">
                  <c:v>Transfer In</c:v>
                </c:pt>
                <c:pt idx="3">
                  <c:v>Transfer Out</c:v>
                </c:pt>
                <c:pt idx="4">
                  <c:v>Payment</c:v>
                </c:pt>
                <c:pt idx="5">
                  <c:v>Loan Repayment</c:v>
                </c:pt>
                <c:pt idx="6">
                  <c:v>Fee</c:v>
                </c:pt>
                <c:pt idx="7">
                  <c:v>Mortgage Payment</c:v>
                </c:pt>
                <c:pt idx="8">
                  <c:v>Interest</c:v>
                </c:pt>
                <c:pt idx="9">
                  <c:v>Adjustment</c:v>
                </c:pt>
              </c:strCache>
            </c:strRef>
          </c:cat>
          <c:val>
            <c:numRef>
              <c:f>kpi!$I$31:$I$40</c:f>
              <c:numCache>
                <c:formatCode>General</c:formatCode>
                <c:ptCount val="10"/>
                <c:pt idx="0">
                  <c:v>143556062.44</c:v>
                </c:pt>
                <c:pt idx="1">
                  <c:v>108212581.11</c:v>
                </c:pt>
                <c:pt idx="2">
                  <c:v>86737795.359999999</c:v>
                </c:pt>
                <c:pt idx="3">
                  <c:v>82102503.609999999</c:v>
                </c:pt>
                <c:pt idx="4">
                  <c:v>70284784.650000006</c:v>
                </c:pt>
                <c:pt idx="5">
                  <c:v>59217441.399999999</c:v>
                </c:pt>
                <c:pt idx="6">
                  <c:v>58432598</c:v>
                </c:pt>
                <c:pt idx="7">
                  <c:v>52056283.299999997</c:v>
                </c:pt>
                <c:pt idx="8">
                  <c:v>45289384.090000004</c:v>
                </c:pt>
                <c:pt idx="9">
                  <c:v>16860571.579999998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00-4A31-AE69-C952F8A788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40380640"/>
        <c:axId val="1040385632"/>
      </c:barChart>
      <c:lineChart>
        <c:grouping val="standard"/>
        <c:varyColors val="0"/>
        <c:ser>
          <c:idx val="0"/>
          <c:order val="0"/>
          <c:tx>
            <c:strRef>
              <c:f>kpi!$H$30</c:f>
              <c:strCache>
                <c:ptCount val="1"/>
                <c:pt idx="0">
                  <c:v>transaction_count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kpi!$G$31:$G$40</c:f>
              <c:strCache>
                <c:ptCount val="10"/>
                <c:pt idx="0">
                  <c:v>Deposit</c:v>
                </c:pt>
                <c:pt idx="1">
                  <c:v>Withdrawal</c:v>
                </c:pt>
                <c:pt idx="2">
                  <c:v>Transfer In</c:v>
                </c:pt>
                <c:pt idx="3">
                  <c:v>Transfer Out</c:v>
                </c:pt>
                <c:pt idx="4">
                  <c:v>Payment</c:v>
                </c:pt>
                <c:pt idx="5">
                  <c:v>Loan Repayment</c:v>
                </c:pt>
                <c:pt idx="6">
                  <c:v>Fee</c:v>
                </c:pt>
                <c:pt idx="7">
                  <c:v>Mortgage Payment</c:v>
                </c:pt>
                <c:pt idx="8">
                  <c:v>Interest</c:v>
                </c:pt>
                <c:pt idx="9">
                  <c:v>Adjustment</c:v>
                </c:pt>
              </c:strCache>
            </c:strRef>
          </c:cat>
          <c:val>
            <c:numRef>
              <c:f>kpi!$H$31:$H$40</c:f>
              <c:numCache>
                <c:formatCode>General</c:formatCode>
                <c:ptCount val="10"/>
                <c:pt idx="0">
                  <c:v>323</c:v>
                </c:pt>
                <c:pt idx="1">
                  <c:v>273</c:v>
                </c:pt>
                <c:pt idx="2">
                  <c:v>195</c:v>
                </c:pt>
                <c:pt idx="3">
                  <c:v>220</c:v>
                </c:pt>
                <c:pt idx="4">
                  <c:v>176</c:v>
                </c:pt>
                <c:pt idx="5">
                  <c:v>151</c:v>
                </c:pt>
                <c:pt idx="6">
                  <c:v>165</c:v>
                </c:pt>
                <c:pt idx="7">
                  <c:v>137</c:v>
                </c:pt>
                <c:pt idx="8">
                  <c:v>109</c:v>
                </c:pt>
                <c:pt idx="9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00-4A31-AE69-C952F8A788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0383136"/>
        <c:axId val="1040386048"/>
      </c:lineChart>
      <c:catAx>
        <c:axId val="1040380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385632"/>
        <c:crosses val="autoZero"/>
        <c:auto val="1"/>
        <c:lblAlgn val="ctr"/>
        <c:lblOffset val="100"/>
        <c:noMultiLvlLbl val="0"/>
      </c:catAx>
      <c:valAx>
        <c:axId val="104038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380640"/>
        <c:crosses val="autoZero"/>
        <c:crossBetween val="between"/>
      </c:valAx>
      <c:valAx>
        <c:axId val="104038604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383136"/>
        <c:crosses val="max"/>
        <c:crossBetween val="between"/>
      </c:valAx>
      <c:catAx>
        <c:axId val="10403831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403860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Loan</a:t>
            </a:r>
            <a:r>
              <a:rPr lang="en-US" baseline="0"/>
              <a:t> Portfolio By Type(Outstanding Balance)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kpi!$K$56</c:f>
              <c:strCache>
                <c:ptCount val="1"/>
                <c:pt idx="0">
                  <c:v>outstanding_balance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D26-4CF0-A066-91726B77817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D26-4CF0-A066-91726B77817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D26-4CF0-A066-91726B77817B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D26-4CF0-A066-91726B77817B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4D26-4CF0-A066-91726B77817B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4D26-4CF0-A066-91726B77817B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4D26-4CF0-A066-91726B77817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kpi!$H$57:$H$63</c:f>
              <c:strCache>
                <c:ptCount val="7"/>
                <c:pt idx="0">
                  <c:v>Other</c:v>
                </c:pt>
                <c:pt idx="1">
                  <c:v>Mortgage</c:v>
                </c:pt>
                <c:pt idx="2">
                  <c:v>Education</c:v>
                </c:pt>
                <c:pt idx="3">
                  <c:v>Business</c:v>
                </c:pt>
                <c:pt idx="4">
                  <c:v>Agricultural</c:v>
                </c:pt>
                <c:pt idx="5">
                  <c:v>Auto</c:v>
                </c:pt>
                <c:pt idx="6">
                  <c:v>Personal</c:v>
                </c:pt>
              </c:strCache>
            </c:strRef>
          </c:cat>
          <c:val>
            <c:numRef>
              <c:f>kpi!$K$57:$K$63</c:f>
              <c:numCache>
                <c:formatCode>General</c:formatCode>
                <c:ptCount val="7"/>
                <c:pt idx="0">
                  <c:v>1056206317.01</c:v>
                </c:pt>
                <c:pt idx="1">
                  <c:v>950599714.21000004</c:v>
                </c:pt>
                <c:pt idx="2">
                  <c:v>914925677.44000006</c:v>
                </c:pt>
                <c:pt idx="3">
                  <c:v>897006661.54999995</c:v>
                </c:pt>
                <c:pt idx="4">
                  <c:v>694106597.87</c:v>
                </c:pt>
                <c:pt idx="5">
                  <c:v>769839111.01999998</c:v>
                </c:pt>
                <c:pt idx="6">
                  <c:v>1058944335.9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D26-4CF0-A066-91726B77817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Loan</a:t>
            </a:r>
            <a:r>
              <a:rPr lang="en-US" baseline="0"/>
              <a:t>  Status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kpi!$I$45</c:f>
              <c:strCache>
                <c:ptCount val="1"/>
                <c:pt idx="0">
                  <c:v>loans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7BC-4985-AC03-0C3C18E3914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7BC-4985-AC03-0C3C18E3914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7BC-4985-AC03-0C3C18E3914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7BC-4985-AC03-0C3C18E3914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7BC-4985-AC03-0C3C18E3914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7BC-4985-AC03-0C3C18E3914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7BC-4985-AC03-0C3C18E3914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kpi!$H$46:$H$52</c:f>
              <c:strCache>
                <c:ptCount val="7"/>
                <c:pt idx="0">
                  <c:v>Active</c:v>
                </c:pt>
                <c:pt idx="1">
                  <c:v>Approved</c:v>
                </c:pt>
                <c:pt idx="2">
                  <c:v>Defaulted</c:v>
                </c:pt>
                <c:pt idx="3">
                  <c:v>Paid</c:v>
                </c:pt>
                <c:pt idx="4">
                  <c:v>Pending</c:v>
                </c:pt>
                <c:pt idx="5">
                  <c:v>Rejected</c:v>
                </c:pt>
                <c:pt idx="6">
                  <c:v>Cancelled</c:v>
                </c:pt>
              </c:strCache>
            </c:strRef>
          </c:cat>
          <c:val>
            <c:numRef>
              <c:f>kpi!$I$46:$I$52</c:f>
              <c:numCache>
                <c:formatCode>General</c:formatCode>
                <c:ptCount val="7"/>
                <c:pt idx="0">
                  <c:v>862</c:v>
                </c:pt>
                <c:pt idx="1">
                  <c:v>177</c:v>
                </c:pt>
                <c:pt idx="2">
                  <c:v>164</c:v>
                </c:pt>
                <c:pt idx="3">
                  <c:v>446</c:v>
                </c:pt>
                <c:pt idx="4">
                  <c:v>155</c:v>
                </c:pt>
                <c:pt idx="5">
                  <c:v>136</c:v>
                </c:pt>
                <c:pt idx="6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7BC-4985-AC03-0C3C18E3914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Default</a:t>
            </a:r>
            <a:r>
              <a:rPr lang="en-US" baseline="0"/>
              <a:t> Rate By Loan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kpi!$O$56</c:f>
              <c:strCache>
                <c:ptCount val="1"/>
                <c:pt idx="0">
                  <c:v>default_rate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kpi!$H$57:$H$63</c:f>
              <c:strCache>
                <c:ptCount val="7"/>
                <c:pt idx="0">
                  <c:v>Other</c:v>
                </c:pt>
                <c:pt idx="1">
                  <c:v>Mortgage</c:v>
                </c:pt>
                <c:pt idx="2">
                  <c:v>Education</c:v>
                </c:pt>
                <c:pt idx="3">
                  <c:v>Business</c:v>
                </c:pt>
                <c:pt idx="4">
                  <c:v>Agricultural</c:v>
                </c:pt>
                <c:pt idx="5">
                  <c:v>Auto</c:v>
                </c:pt>
                <c:pt idx="6">
                  <c:v>Personal</c:v>
                </c:pt>
              </c:strCache>
            </c:strRef>
          </c:cat>
          <c:val>
            <c:numRef>
              <c:f>kpi!$O$57:$O$63</c:f>
              <c:numCache>
                <c:formatCode>General</c:formatCode>
                <c:ptCount val="7"/>
                <c:pt idx="0">
                  <c:v>10.029999999999999</c:v>
                </c:pt>
                <c:pt idx="1">
                  <c:v>9.85</c:v>
                </c:pt>
                <c:pt idx="2">
                  <c:v>9.0299999999999994</c:v>
                </c:pt>
                <c:pt idx="3">
                  <c:v>8.19</c:v>
                </c:pt>
                <c:pt idx="4">
                  <c:v>7.75</c:v>
                </c:pt>
                <c:pt idx="5">
                  <c:v>6.94</c:v>
                </c:pt>
                <c:pt idx="6">
                  <c:v>5.67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D0-4377-9BFC-C75F2ECF3FC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26545744"/>
        <c:axId val="626548240"/>
      </c:barChart>
      <c:catAx>
        <c:axId val="626545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548240"/>
        <c:crosses val="autoZero"/>
        <c:auto val="1"/>
        <c:lblAlgn val="ctr"/>
        <c:lblOffset val="100"/>
        <c:noMultiLvlLbl val="0"/>
      </c:catAx>
      <c:valAx>
        <c:axId val="626548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545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Transaction</a:t>
            </a:r>
            <a:r>
              <a:rPr lang="en-US" baseline="0"/>
              <a:t> Trend Monthly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kpi!$Q$89:$Q$112</c:f>
              <c:strCache>
                <c:ptCount val="24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</c:strCache>
            </c:strRef>
          </c:cat>
          <c:val>
            <c:numRef>
              <c:f>kpi!$S$89:$S$112</c:f>
              <c:numCache>
                <c:formatCode>General</c:formatCode>
                <c:ptCount val="24"/>
                <c:pt idx="0">
                  <c:v>7882191.1900000004</c:v>
                </c:pt>
                <c:pt idx="1">
                  <c:v>9603116.2599999998</c:v>
                </c:pt>
                <c:pt idx="2">
                  <c:v>14198169.789999999</c:v>
                </c:pt>
                <c:pt idx="3">
                  <c:v>14678499.85</c:v>
                </c:pt>
                <c:pt idx="4">
                  <c:v>13561081.65</c:v>
                </c:pt>
                <c:pt idx="5">
                  <c:v>10415064.800000001</c:v>
                </c:pt>
                <c:pt idx="6">
                  <c:v>14268934.789999999</c:v>
                </c:pt>
                <c:pt idx="7">
                  <c:v>12271419.039999999</c:v>
                </c:pt>
                <c:pt idx="8">
                  <c:v>13742262.68</c:v>
                </c:pt>
                <c:pt idx="9">
                  <c:v>13401046.470000001</c:v>
                </c:pt>
                <c:pt idx="10">
                  <c:v>11779440.92</c:v>
                </c:pt>
                <c:pt idx="11">
                  <c:v>14283026.43</c:v>
                </c:pt>
                <c:pt idx="12">
                  <c:v>16949810.190000001</c:v>
                </c:pt>
                <c:pt idx="13">
                  <c:v>25306020.899999999</c:v>
                </c:pt>
                <c:pt idx="14">
                  <c:v>15022767.199999999</c:v>
                </c:pt>
                <c:pt idx="15">
                  <c:v>19559348.440000001</c:v>
                </c:pt>
                <c:pt idx="16">
                  <c:v>9927795.3800000008</c:v>
                </c:pt>
                <c:pt idx="17">
                  <c:v>18293753.84</c:v>
                </c:pt>
                <c:pt idx="18">
                  <c:v>19496052.050000001</c:v>
                </c:pt>
                <c:pt idx="19">
                  <c:v>18133867.77</c:v>
                </c:pt>
                <c:pt idx="20">
                  <c:v>13745043.640000001</c:v>
                </c:pt>
                <c:pt idx="21">
                  <c:v>25031585.43</c:v>
                </c:pt>
                <c:pt idx="22">
                  <c:v>33488606.850000001</c:v>
                </c:pt>
                <c:pt idx="23">
                  <c:v>37690803.399999999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4D-4FC8-A63E-500E9C479E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0725648"/>
        <c:axId val="40732304"/>
      </c:barChar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kpi!$Q$89:$Q$112</c:f>
              <c:strCache>
                <c:ptCount val="24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</c:strCache>
            </c:strRef>
          </c:cat>
          <c:val>
            <c:numRef>
              <c:f>kpi!$R$89:$R$112</c:f>
              <c:numCache>
                <c:formatCode>General</c:formatCode>
                <c:ptCount val="24"/>
                <c:pt idx="0">
                  <c:v>19</c:v>
                </c:pt>
                <c:pt idx="1">
                  <c:v>20</c:v>
                </c:pt>
                <c:pt idx="2">
                  <c:v>30</c:v>
                </c:pt>
                <c:pt idx="3">
                  <c:v>33</c:v>
                </c:pt>
                <c:pt idx="4">
                  <c:v>33</c:v>
                </c:pt>
                <c:pt idx="5">
                  <c:v>29</c:v>
                </c:pt>
                <c:pt idx="6">
                  <c:v>35</c:v>
                </c:pt>
                <c:pt idx="7">
                  <c:v>35</c:v>
                </c:pt>
                <c:pt idx="8">
                  <c:v>31</c:v>
                </c:pt>
                <c:pt idx="9">
                  <c:v>40</c:v>
                </c:pt>
                <c:pt idx="10">
                  <c:v>29</c:v>
                </c:pt>
                <c:pt idx="11">
                  <c:v>33</c:v>
                </c:pt>
                <c:pt idx="12">
                  <c:v>44</c:v>
                </c:pt>
                <c:pt idx="13">
                  <c:v>56</c:v>
                </c:pt>
                <c:pt idx="14">
                  <c:v>38</c:v>
                </c:pt>
                <c:pt idx="15">
                  <c:v>46</c:v>
                </c:pt>
                <c:pt idx="16">
                  <c:v>30</c:v>
                </c:pt>
                <c:pt idx="17">
                  <c:v>42</c:v>
                </c:pt>
                <c:pt idx="18">
                  <c:v>50</c:v>
                </c:pt>
                <c:pt idx="19">
                  <c:v>50</c:v>
                </c:pt>
                <c:pt idx="20">
                  <c:v>43</c:v>
                </c:pt>
                <c:pt idx="21">
                  <c:v>61</c:v>
                </c:pt>
                <c:pt idx="22">
                  <c:v>87</c:v>
                </c:pt>
                <c:pt idx="23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4D-4FC8-A63E-500E9C479E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721904"/>
        <c:axId val="40721488"/>
      </c:lineChart>
      <c:catAx>
        <c:axId val="40725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32304"/>
        <c:crosses val="autoZero"/>
        <c:auto val="1"/>
        <c:lblAlgn val="ctr"/>
        <c:lblOffset val="100"/>
        <c:noMultiLvlLbl val="0"/>
      </c:catAx>
      <c:valAx>
        <c:axId val="4073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25648"/>
        <c:crosses val="autoZero"/>
        <c:crossBetween val="between"/>
      </c:valAx>
      <c:valAx>
        <c:axId val="407214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21904"/>
        <c:crosses val="max"/>
        <c:crossBetween val="between"/>
      </c:valAx>
      <c:catAx>
        <c:axId val="407219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07214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image" Target="../media/image4.svg"/><Relationship Id="rId18" Type="http://schemas.openxmlformats.org/officeDocument/2006/relationships/image" Target="../media/image9.png"/><Relationship Id="rId26" Type="http://schemas.openxmlformats.org/officeDocument/2006/relationships/image" Target="../media/image17.png"/><Relationship Id="rId3" Type="http://schemas.openxmlformats.org/officeDocument/2006/relationships/chart" Target="../charts/chart3.xml"/><Relationship Id="rId21" Type="http://schemas.openxmlformats.org/officeDocument/2006/relationships/image" Target="../media/image12.svg"/><Relationship Id="rId7" Type="http://schemas.openxmlformats.org/officeDocument/2006/relationships/chart" Target="../charts/chart7.xml"/><Relationship Id="rId12" Type="http://schemas.openxmlformats.org/officeDocument/2006/relationships/image" Target="../media/image3.png"/><Relationship Id="rId17" Type="http://schemas.openxmlformats.org/officeDocument/2006/relationships/image" Target="../media/image8.svg"/><Relationship Id="rId25" Type="http://schemas.openxmlformats.org/officeDocument/2006/relationships/image" Target="../media/image16.svg"/><Relationship Id="rId2" Type="http://schemas.openxmlformats.org/officeDocument/2006/relationships/chart" Target="../charts/chart2.xml"/><Relationship Id="rId16" Type="http://schemas.openxmlformats.org/officeDocument/2006/relationships/image" Target="../media/image7.png"/><Relationship Id="rId20" Type="http://schemas.openxmlformats.org/officeDocument/2006/relationships/image" Target="../media/image11.png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image" Target="../media/image2.svg"/><Relationship Id="rId24" Type="http://schemas.openxmlformats.org/officeDocument/2006/relationships/image" Target="../media/image15.png"/><Relationship Id="rId5" Type="http://schemas.openxmlformats.org/officeDocument/2006/relationships/chart" Target="../charts/chart5.xml"/><Relationship Id="rId15" Type="http://schemas.openxmlformats.org/officeDocument/2006/relationships/image" Target="../media/image6.svg"/><Relationship Id="rId23" Type="http://schemas.openxmlformats.org/officeDocument/2006/relationships/image" Target="../media/image14.svg"/><Relationship Id="rId10" Type="http://schemas.openxmlformats.org/officeDocument/2006/relationships/image" Target="../media/image1.png"/><Relationship Id="rId19" Type="http://schemas.openxmlformats.org/officeDocument/2006/relationships/image" Target="../media/image10.svg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image" Target="../media/image5.png"/><Relationship Id="rId22" Type="http://schemas.openxmlformats.org/officeDocument/2006/relationships/image" Target="../media/image13.png"/><Relationship Id="rId27" Type="http://schemas.openxmlformats.org/officeDocument/2006/relationships/image" Target="../media/image18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48260</xdr:colOff>
      <xdr:row>9</xdr:row>
      <xdr:rowOff>77824</xdr:rowOff>
    </xdr:from>
    <xdr:to>
      <xdr:col>5</xdr:col>
      <xdr:colOff>646430</xdr:colOff>
      <xdr:row>24</xdr:row>
      <xdr:rowOff>66394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9AA67B1A-6BAB-4E46-AE8F-874DAF8244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30480</xdr:colOff>
      <xdr:row>12</xdr:row>
      <xdr:rowOff>152400</xdr:rowOff>
    </xdr:from>
    <xdr:to>
      <xdr:col>3</xdr:col>
      <xdr:colOff>525780</xdr:colOff>
      <xdr:row>15</xdr:row>
      <xdr:rowOff>15240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603B6344-1C6A-4E8C-95E1-AA276CBE306D}"/>
            </a:ext>
          </a:extLst>
        </xdr:cNvPr>
        <xdr:cNvSpPr txBox="1"/>
      </xdr:nvSpPr>
      <xdr:spPr>
        <a:xfrm>
          <a:off x="2042160" y="2255520"/>
          <a:ext cx="495300" cy="3886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>
    <xdr:from>
      <xdr:col>12</xdr:col>
      <xdr:colOff>191770</xdr:colOff>
      <xdr:row>9</xdr:row>
      <xdr:rowOff>77824</xdr:rowOff>
    </xdr:from>
    <xdr:to>
      <xdr:col>18</xdr:col>
      <xdr:colOff>123190</xdr:colOff>
      <xdr:row>24</xdr:row>
      <xdr:rowOff>66394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16C2FC9A-18B4-4CFB-9675-00B93A903F35}"/>
            </a:ext>
          </a:extLst>
        </xdr:cNvPr>
        <xdr:cNvGrpSpPr/>
      </xdr:nvGrpSpPr>
      <xdr:grpSpPr>
        <a:xfrm>
          <a:off x="8232184" y="2468927"/>
          <a:ext cx="3951627" cy="2550467"/>
          <a:chOff x="6562764" y="-10187706"/>
          <a:chExt cx="4571999" cy="2812536"/>
        </a:xfrm>
      </xdr:grpSpPr>
      <xdr:graphicFrame macro="">
        <xdr:nvGraphicFramePr>
          <xdr:cNvPr id="18" name="Chart 17">
            <a:extLst>
              <a:ext uri="{FF2B5EF4-FFF2-40B4-BE49-F238E27FC236}">
                <a16:creationId xmlns:a16="http://schemas.microsoft.com/office/drawing/2014/main" id="{7CB27501-AD6F-4599-B1CF-854DDAB3BAAB}"/>
              </a:ext>
            </a:extLst>
          </xdr:cNvPr>
          <xdr:cNvGraphicFramePr/>
        </xdr:nvGraphicFramePr>
        <xdr:xfrm>
          <a:off x="6562764" y="-10187706"/>
          <a:ext cx="4571999" cy="281253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19" name="TextBox 18">
            <a:extLst>
              <a:ext uri="{FF2B5EF4-FFF2-40B4-BE49-F238E27FC236}">
                <a16:creationId xmlns:a16="http://schemas.microsoft.com/office/drawing/2014/main" id="{4BFAADFC-1E13-4F9A-BDAE-CE173EC5B665}"/>
              </a:ext>
            </a:extLst>
          </xdr:cNvPr>
          <xdr:cNvSpPr txBox="1"/>
        </xdr:nvSpPr>
        <xdr:spPr>
          <a:xfrm>
            <a:off x="9660606" y="-8661667"/>
            <a:ext cx="838199" cy="51646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100"/>
              <a:t>2000</a:t>
            </a:r>
          </a:p>
          <a:p>
            <a:r>
              <a:rPr lang="en-US" sz="1100"/>
              <a:t>ACCOUNTS</a:t>
            </a:r>
          </a:p>
        </xdr:txBody>
      </xdr:sp>
    </xdr:grpSp>
    <xdr:clientData/>
  </xdr:twoCellAnchor>
  <xdr:twoCellAnchor>
    <xdr:from>
      <xdr:col>6</xdr:col>
      <xdr:colOff>135890</xdr:colOff>
      <xdr:row>9</xdr:row>
      <xdr:rowOff>77824</xdr:rowOff>
    </xdr:from>
    <xdr:to>
      <xdr:col>12</xdr:col>
      <xdr:colOff>67310</xdr:colOff>
      <xdr:row>24</xdr:row>
      <xdr:rowOff>66394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A219A0D9-9C9D-47E4-958D-CA033B485B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664210</xdr:colOff>
      <xdr:row>24</xdr:row>
      <xdr:rowOff>152400</xdr:rowOff>
    </xdr:from>
    <xdr:to>
      <xdr:col>16</xdr:col>
      <xdr:colOff>450850</xdr:colOff>
      <xdr:row>39</xdr:row>
      <xdr:rowOff>140970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99048F5-3383-4645-99DE-8578F36D19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48260</xdr:colOff>
      <xdr:row>24</xdr:row>
      <xdr:rowOff>152400</xdr:rowOff>
    </xdr:from>
    <xdr:to>
      <xdr:col>8</xdr:col>
      <xdr:colOff>566420</xdr:colOff>
      <xdr:row>39</xdr:row>
      <xdr:rowOff>140970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1F66356C-5189-4CAB-A301-0137100A4F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48260</xdr:colOff>
      <xdr:row>40</xdr:row>
      <xdr:rowOff>19050</xdr:rowOff>
    </xdr:from>
    <xdr:to>
      <xdr:col>5</xdr:col>
      <xdr:colOff>646430</xdr:colOff>
      <xdr:row>55</xdr:row>
      <xdr:rowOff>7620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3F589F42-F24C-4772-B100-BCEDAE8F29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82973</xdr:colOff>
      <xdr:row>40</xdr:row>
      <xdr:rowOff>19050</xdr:rowOff>
    </xdr:from>
    <xdr:to>
      <xdr:col>12</xdr:col>
      <xdr:colOff>14393</xdr:colOff>
      <xdr:row>55</xdr:row>
      <xdr:rowOff>7620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F430E37D-0F5C-4230-A0C2-EB1FD9BCA5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117686</xdr:colOff>
      <xdr:row>40</xdr:row>
      <xdr:rowOff>19050</xdr:rowOff>
    </xdr:from>
    <xdr:to>
      <xdr:col>18</xdr:col>
      <xdr:colOff>49106</xdr:colOff>
      <xdr:row>55</xdr:row>
      <xdr:rowOff>7620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BC954784-EFB2-460E-88DE-920FF11237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539750</xdr:colOff>
      <xdr:row>24</xdr:row>
      <xdr:rowOff>152400</xdr:rowOff>
    </xdr:from>
    <xdr:to>
      <xdr:col>25</xdr:col>
      <xdr:colOff>391160</xdr:colOff>
      <xdr:row>39</xdr:row>
      <xdr:rowOff>140970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159361BB-16BA-4F73-AEF1-7F605F2F18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oneCellAnchor>
    <xdr:from>
      <xdr:col>8</xdr:col>
      <xdr:colOff>19050</xdr:colOff>
      <xdr:row>17</xdr:row>
      <xdr:rowOff>95250</xdr:rowOff>
    </xdr:from>
    <xdr:ext cx="4161437" cy="499304"/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F28DAD0E-C9BB-42DC-97BD-4A45F9A36C43}"/>
            </a:ext>
          </a:extLst>
        </xdr:cNvPr>
        <xdr:cNvSpPr/>
      </xdr:nvSpPr>
      <xdr:spPr>
        <a:xfrm>
          <a:off x="5353050" y="3009900"/>
          <a:ext cx="4161437" cy="499304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endParaRPr lang="en-US" sz="2600" b="1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>
    <xdr:from>
      <xdr:col>11</xdr:col>
      <xdr:colOff>314325</xdr:colOff>
      <xdr:row>0</xdr:row>
      <xdr:rowOff>76200</xdr:rowOff>
    </xdr:from>
    <xdr:to>
      <xdr:col>14</xdr:col>
      <xdr:colOff>342900</xdr:colOff>
      <xdr:row>3</xdr:row>
      <xdr:rowOff>152400</xdr:rowOff>
    </xdr:to>
    <xdr:sp macro="" textlink="">
      <xdr:nvSpPr>
        <xdr:cNvPr id="29" name="Rectangle: Rounded Corners 28">
          <a:extLst>
            <a:ext uri="{FF2B5EF4-FFF2-40B4-BE49-F238E27FC236}">
              <a16:creationId xmlns:a16="http://schemas.microsoft.com/office/drawing/2014/main" id="{39E481EB-4829-4652-A992-258533AF6A3C}"/>
            </a:ext>
          </a:extLst>
        </xdr:cNvPr>
        <xdr:cNvSpPr/>
      </xdr:nvSpPr>
      <xdr:spPr>
        <a:xfrm>
          <a:off x="7648575" y="76200"/>
          <a:ext cx="2028825" cy="81915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2"/>
              </a:solidFill>
            </a:rPr>
            <a:t>DATE RANGE</a:t>
          </a:r>
        </a:p>
        <a:p>
          <a:pPr algn="l"/>
          <a:endParaRPr lang="en-US" sz="1100">
            <a:solidFill>
              <a:schemeClr val="tx2"/>
            </a:solidFill>
          </a:endParaRPr>
        </a:p>
        <a:p>
          <a:pPr algn="l"/>
          <a:r>
            <a:rPr lang="en-US" sz="1100">
              <a:solidFill>
                <a:schemeClr val="tx2"/>
              </a:solidFill>
            </a:rPr>
            <a:t>01 JAN</a:t>
          </a:r>
          <a:r>
            <a:rPr lang="en-US" sz="1100" baseline="0">
              <a:solidFill>
                <a:schemeClr val="tx2"/>
              </a:solidFill>
            </a:rPr>
            <a:t> 2018- 31 AUG 2026</a:t>
          </a:r>
          <a:endParaRPr lang="en-US" sz="1100">
            <a:solidFill>
              <a:schemeClr val="tx2"/>
            </a:solidFill>
          </a:endParaRPr>
        </a:p>
      </xdr:txBody>
    </xdr:sp>
    <xdr:clientData/>
  </xdr:twoCellAnchor>
  <xdr:twoCellAnchor>
    <xdr:from>
      <xdr:col>14</xdr:col>
      <xdr:colOff>514350</xdr:colOff>
      <xdr:row>0</xdr:row>
      <xdr:rowOff>57150</xdr:rowOff>
    </xdr:from>
    <xdr:to>
      <xdr:col>17</xdr:col>
      <xdr:colOff>542925</xdr:colOff>
      <xdr:row>3</xdr:row>
      <xdr:rowOff>133350</xdr:rowOff>
    </xdr:to>
    <xdr:sp macro="" textlink="">
      <xdr:nvSpPr>
        <xdr:cNvPr id="30" name="Rectangle: Rounded Corners 29">
          <a:extLst>
            <a:ext uri="{FF2B5EF4-FFF2-40B4-BE49-F238E27FC236}">
              <a16:creationId xmlns:a16="http://schemas.microsoft.com/office/drawing/2014/main" id="{2FD20750-02C9-43C3-842D-7DD8C60F39EA}"/>
            </a:ext>
          </a:extLst>
        </xdr:cNvPr>
        <xdr:cNvSpPr/>
      </xdr:nvSpPr>
      <xdr:spPr>
        <a:xfrm>
          <a:off x="9848850" y="57150"/>
          <a:ext cx="2028825" cy="81915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2"/>
              </a:solidFill>
            </a:rPr>
            <a:t>BRANCH</a:t>
          </a:r>
        </a:p>
        <a:p>
          <a:pPr algn="l"/>
          <a:endParaRPr lang="en-US" sz="1100">
            <a:solidFill>
              <a:schemeClr val="tx2"/>
            </a:solidFill>
          </a:endParaRPr>
        </a:p>
        <a:p>
          <a:pPr algn="l"/>
          <a:r>
            <a:rPr lang="en-US" sz="1100">
              <a:solidFill>
                <a:schemeClr val="tx2"/>
              </a:solidFill>
            </a:rPr>
            <a:t>ALL</a:t>
          </a:r>
        </a:p>
      </xdr:txBody>
    </xdr:sp>
    <xdr:clientData/>
  </xdr:twoCellAnchor>
  <xdr:twoCellAnchor>
    <xdr:from>
      <xdr:col>18</xdr:col>
      <xdr:colOff>19050</xdr:colOff>
      <xdr:row>0</xdr:row>
      <xdr:rowOff>47625</xdr:rowOff>
    </xdr:from>
    <xdr:to>
      <xdr:col>20</xdr:col>
      <xdr:colOff>638175</xdr:colOff>
      <xdr:row>3</xdr:row>
      <xdr:rowOff>123825</xdr:rowOff>
    </xdr:to>
    <xdr:sp macro="" textlink="">
      <xdr:nvSpPr>
        <xdr:cNvPr id="31" name="Rectangle: Rounded Corners 30">
          <a:extLst>
            <a:ext uri="{FF2B5EF4-FFF2-40B4-BE49-F238E27FC236}">
              <a16:creationId xmlns:a16="http://schemas.microsoft.com/office/drawing/2014/main" id="{FE78F8EC-E099-4E3B-8FD5-9C035F3DC435}"/>
            </a:ext>
          </a:extLst>
        </xdr:cNvPr>
        <xdr:cNvSpPr/>
      </xdr:nvSpPr>
      <xdr:spPr>
        <a:xfrm>
          <a:off x="12020550" y="47625"/>
          <a:ext cx="1952625" cy="81915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2"/>
              </a:solidFill>
            </a:rPr>
            <a:t>REGION\ STATE</a:t>
          </a:r>
        </a:p>
        <a:p>
          <a:pPr algn="l"/>
          <a:endParaRPr lang="en-US" sz="1100">
            <a:solidFill>
              <a:schemeClr val="tx2"/>
            </a:solidFill>
          </a:endParaRPr>
        </a:p>
        <a:p>
          <a:pPr algn="l"/>
          <a:r>
            <a:rPr lang="en-US" sz="1100">
              <a:solidFill>
                <a:schemeClr val="tx2"/>
              </a:solidFill>
            </a:rPr>
            <a:t>ALL</a:t>
          </a:r>
        </a:p>
      </xdr:txBody>
    </xdr:sp>
    <xdr:clientData/>
  </xdr:twoCellAnchor>
  <xdr:twoCellAnchor>
    <xdr:from>
      <xdr:col>0</xdr:col>
      <xdr:colOff>135255</xdr:colOff>
      <xdr:row>4</xdr:row>
      <xdr:rowOff>83820</xdr:rowOff>
    </xdr:from>
    <xdr:to>
      <xdr:col>3</xdr:col>
      <xdr:colOff>501015</xdr:colOff>
      <xdr:row>8</xdr:row>
      <xdr:rowOff>175260</xdr:rowOff>
    </xdr:to>
    <xdr:sp macro="" textlink="kpi!A2">
      <xdr:nvSpPr>
        <xdr:cNvPr id="32" name="Rectangle: Rounded Corners 31">
          <a:extLst>
            <a:ext uri="{FF2B5EF4-FFF2-40B4-BE49-F238E27FC236}">
              <a16:creationId xmlns:a16="http://schemas.microsoft.com/office/drawing/2014/main" id="{596D9A4B-8EE9-4FF7-BECA-90E76C38C148}"/>
            </a:ext>
          </a:extLst>
        </xdr:cNvPr>
        <xdr:cNvSpPr/>
      </xdr:nvSpPr>
      <xdr:spPr>
        <a:xfrm>
          <a:off x="135255" y="1196340"/>
          <a:ext cx="2377440" cy="82296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D7C48D6D-8BAC-4FCA-9BD4-2B31AFD9175F}" type="TxLink">
            <a:rPr lang="en-US" sz="1600" b="1" i="0" u="none" strike="noStrike">
              <a:solidFill>
                <a:srgbClr val="000000"/>
              </a:solidFill>
              <a:latin typeface="Aptos Narrow"/>
            </a:rPr>
            <a:pPr algn="ctr"/>
            <a:t>2000</a:t>
          </a:fld>
          <a:endParaRPr lang="en-US" sz="1600" b="1"/>
        </a:p>
      </xdr:txBody>
    </xdr:sp>
    <xdr:clientData/>
  </xdr:twoCellAnchor>
  <xdr:twoCellAnchor>
    <xdr:from>
      <xdr:col>22</xdr:col>
      <xdr:colOff>175260</xdr:colOff>
      <xdr:row>4</xdr:row>
      <xdr:rowOff>120015</xdr:rowOff>
    </xdr:from>
    <xdr:to>
      <xdr:col>25</xdr:col>
      <xdr:colOff>541020</xdr:colOff>
      <xdr:row>9</xdr:row>
      <xdr:rowOff>28575</xdr:rowOff>
    </xdr:to>
    <xdr:sp macro="" textlink="kpi!K241">
      <xdr:nvSpPr>
        <xdr:cNvPr id="33" name="Rectangle: Rounded Corners 32">
          <a:extLst>
            <a:ext uri="{FF2B5EF4-FFF2-40B4-BE49-F238E27FC236}">
              <a16:creationId xmlns:a16="http://schemas.microsoft.com/office/drawing/2014/main" id="{AB4D842A-B459-41EE-BFC8-0A80E8502CFC}"/>
            </a:ext>
          </a:extLst>
        </xdr:cNvPr>
        <xdr:cNvSpPr/>
      </xdr:nvSpPr>
      <xdr:spPr>
        <a:xfrm>
          <a:off x="14843760" y="1644015"/>
          <a:ext cx="2366010" cy="76581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04E008BC-8AAF-4AB8-A5BA-E3F8218DA946}" type="TxLink">
            <a:rPr lang="en-US" sz="1400" b="1" i="0" u="none" strike="noStrike">
              <a:solidFill>
                <a:srgbClr val="000000"/>
              </a:solidFill>
              <a:latin typeface="Aptos Narrow"/>
            </a:rPr>
            <a:pPr algn="ctr"/>
            <a:t>164</a:t>
          </a:fld>
          <a:endParaRPr lang="en-US" sz="1400" b="1"/>
        </a:p>
      </xdr:txBody>
    </xdr:sp>
    <xdr:clientData/>
  </xdr:twoCellAnchor>
  <xdr:twoCellAnchor>
    <xdr:from>
      <xdr:col>3</xdr:col>
      <xdr:colOff>590550</xdr:colOff>
      <xdr:row>4</xdr:row>
      <xdr:rowOff>99060</xdr:rowOff>
    </xdr:from>
    <xdr:to>
      <xdr:col>7</xdr:col>
      <xdr:colOff>285750</xdr:colOff>
      <xdr:row>9</xdr:row>
      <xdr:rowOff>7620</xdr:rowOff>
    </xdr:to>
    <xdr:sp macro="" textlink="kpi!B2">
      <xdr:nvSpPr>
        <xdr:cNvPr id="34" name="Rectangle: Rounded Corners 33">
          <a:extLst>
            <a:ext uri="{FF2B5EF4-FFF2-40B4-BE49-F238E27FC236}">
              <a16:creationId xmlns:a16="http://schemas.microsoft.com/office/drawing/2014/main" id="{DA7142E9-C78A-4F3D-B491-B9800F121EE0}"/>
            </a:ext>
          </a:extLst>
        </xdr:cNvPr>
        <xdr:cNvSpPr/>
      </xdr:nvSpPr>
      <xdr:spPr>
        <a:xfrm>
          <a:off x="2602230" y="1211580"/>
          <a:ext cx="2377440" cy="82296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C2111F83-C1AE-4D1B-80CA-277EC69F956C}" type="TxLink">
            <a:rPr lang="en-US" sz="1400" b="1" i="0" u="none" strike="noStrike">
              <a:solidFill>
                <a:srgbClr val="000000"/>
              </a:solidFill>
              <a:latin typeface="Aptos Narrow"/>
            </a:rPr>
            <a:pPr algn="ctr"/>
            <a:t>1709</a:t>
          </a:fld>
          <a:endParaRPr lang="en-US" sz="1400" b="1"/>
        </a:p>
      </xdr:txBody>
    </xdr:sp>
    <xdr:clientData/>
  </xdr:twoCellAnchor>
  <xdr:twoCellAnchor>
    <xdr:from>
      <xdr:col>7</xdr:col>
      <xdr:colOff>411480</xdr:colOff>
      <xdr:row>4</xdr:row>
      <xdr:rowOff>97155</xdr:rowOff>
    </xdr:from>
    <xdr:to>
      <xdr:col>11</xdr:col>
      <xdr:colOff>106680</xdr:colOff>
      <xdr:row>9</xdr:row>
      <xdr:rowOff>5715</xdr:rowOff>
    </xdr:to>
    <xdr:sp macro="" textlink="kpi!D241">
      <xdr:nvSpPr>
        <xdr:cNvPr id="35" name="Rectangle: Rounded Corners 34">
          <a:extLst>
            <a:ext uri="{FF2B5EF4-FFF2-40B4-BE49-F238E27FC236}">
              <a16:creationId xmlns:a16="http://schemas.microsoft.com/office/drawing/2014/main" id="{5A163195-CB87-4BC3-9144-4BE3A7FDAD6A}"/>
            </a:ext>
          </a:extLst>
        </xdr:cNvPr>
        <xdr:cNvSpPr/>
      </xdr:nvSpPr>
      <xdr:spPr>
        <a:xfrm>
          <a:off x="5105400" y="1209675"/>
          <a:ext cx="2377440" cy="82296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3D05EB4F-05E1-4D69-94E2-57C95D196F71}" type="TxLink">
            <a:rPr lang="en-US" sz="1400" b="1" i="0" u="none" strike="noStrike">
              <a:solidFill>
                <a:srgbClr val="000000"/>
              </a:solidFill>
              <a:latin typeface="Aptos Narrow"/>
            </a:rPr>
            <a:pPr algn="ctr"/>
            <a:t>2000</a:t>
          </a:fld>
          <a:endParaRPr lang="en-US" sz="1400" b="1"/>
        </a:p>
      </xdr:txBody>
    </xdr:sp>
    <xdr:clientData/>
  </xdr:twoCellAnchor>
  <xdr:twoCellAnchor>
    <xdr:from>
      <xdr:col>11</xdr:col>
      <xdr:colOff>190500</xdr:colOff>
      <xdr:row>4</xdr:row>
      <xdr:rowOff>121920</xdr:rowOff>
    </xdr:from>
    <xdr:to>
      <xdr:col>14</xdr:col>
      <xdr:colOff>556260</xdr:colOff>
      <xdr:row>9</xdr:row>
      <xdr:rowOff>30480</xdr:rowOff>
    </xdr:to>
    <xdr:sp macro="" textlink="kpi!F241">
      <xdr:nvSpPr>
        <xdr:cNvPr id="36" name="Rectangle: Rounded Corners 35">
          <a:extLst>
            <a:ext uri="{FF2B5EF4-FFF2-40B4-BE49-F238E27FC236}">
              <a16:creationId xmlns:a16="http://schemas.microsoft.com/office/drawing/2014/main" id="{4648A9C3-4D00-4817-839B-741D4C2FAA69}"/>
            </a:ext>
          </a:extLst>
        </xdr:cNvPr>
        <xdr:cNvSpPr/>
      </xdr:nvSpPr>
      <xdr:spPr>
        <a:xfrm>
          <a:off x="7566660" y="1234440"/>
          <a:ext cx="2377440" cy="82296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1ECE5020-BC62-4C8F-AA75-48BDA19BB312}" type="TxLink">
            <a:rPr lang="en-US" sz="1400" b="1" i="0" u="none" strike="noStrike">
              <a:solidFill>
                <a:srgbClr val="000000"/>
              </a:solidFill>
              <a:latin typeface="Aptos Narrow"/>
            </a:rPr>
            <a:pPr algn="ctr"/>
            <a:t>4105B</a:t>
          </a:fld>
          <a:endParaRPr lang="en-US" sz="1400" b="1"/>
        </a:p>
      </xdr:txBody>
    </xdr:sp>
    <xdr:clientData/>
  </xdr:twoCellAnchor>
  <xdr:twoCellAnchor>
    <xdr:from>
      <xdr:col>14</xdr:col>
      <xdr:colOff>636270</xdr:colOff>
      <xdr:row>4</xdr:row>
      <xdr:rowOff>85725</xdr:rowOff>
    </xdr:from>
    <xdr:to>
      <xdr:col>18</xdr:col>
      <xdr:colOff>331470</xdr:colOff>
      <xdr:row>8</xdr:row>
      <xdr:rowOff>177165</xdr:rowOff>
    </xdr:to>
    <xdr:sp macro="" textlink="kpi!B241">
      <xdr:nvSpPr>
        <xdr:cNvPr id="37" name="Rectangle: Rounded Corners 36">
          <a:extLst>
            <a:ext uri="{FF2B5EF4-FFF2-40B4-BE49-F238E27FC236}">
              <a16:creationId xmlns:a16="http://schemas.microsoft.com/office/drawing/2014/main" id="{C19B3830-0B16-47A2-A33D-A9114F2D6F78}"/>
            </a:ext>
          </a:extLst>
        </xdr:cNvPr>
        <xdr:cNvSpPr/>
      </xdr:nvSpPr>
      <xdr:spPr>
        <a:xfrm>
          <a:off x="10024110" y="1198245"/>
          <a:ext cx="2377440" cy="82296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E9B84BEB-D921-48C4-8655-3FB640F48584}" type="TxLink">
            <a:rPr lang="en-US" sz="1400" b="1" i="0" u="none" strike="noStrike">
              <a:solidFill>
                <a:srgbClr val="000000"/>
              </a:solidFill>
              <a:latin typeface="Aptos Narrow"/>
            </a:rPr>
            <a:pPr algn="ctr"/>
            <a:t>2000</a:t>
          </a:fld>
          <a:endParaRPr lang="en-US" sz="1400" b="1"/>
        </a:p>
      </xdr:txBody>
    </xdr:sp>
    <xdr:clientData/>
  </xdr:twoCellAnchor>
  <xdr:twoCellAnchor>
    <xdr:from>
      <xdr:col>18</xdr:col>
      <xdr:colOff>413385</xdr:colOff>
      <xdr:row>4</xdr:row>
      <xdr:rowOff>100965</xdr:rowOff>
    </xdr:from>
    <xdr:to>
      <xdr:col>22</xdr:col>
      <xdr:colOff>108585</xdr:colOff>
      <xdr:row>9</xdr:row>
      <xdr:rowOff>9525</xdr:rowOff>
    </xdr:to>
    <xdr:sp macro="" textlink="kpi!I241">
      <xdr:nvSpPr>
        <xdr:cNvPr id="38" name="Rectangle: Rounded Corners 37">
          <a:extLst>
            <a:ext uri="{FF2B5EF4-FFF2-40B4-BE49-F238E27FC236}">
              <a16:creationId xmlns:a16="http://schemas.microsoft.com/office/drawing/2014/main" id="{EDCD7562-4936-421B-9381-CD7ADDA940EA}"/>
            </a:ext>
          </a:extLst>
        </xdr:cNvPr>
        <xdr:cNvSpPr/>
      </xdr:nvSpPr>
      <xdr:spPr>
        <a:xfrm>
          <a:off x="12483465" y="1213485"/>
          <a:ext cx="2377440" cy="82296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87058EA5-C09D-42FD-B398-EA5CF273232A}" type="TxLink">
            <a:rPr lang="en-US" sz="1400" b="1" i="0" u="none" strike="noStrike">
              <a:solidFill>
                <a:srgbClr val="000000"/>
              </a:solidFill>
              <a:latin typeface="Aptos Narrow"/>
            </a:rPr>
            <a:pPr algn="ctr"/>
            <a:t>11006B</a:t>
          </a:fld>
          <a:endParaRPr lang="en-US" sz="1400" b="1"/>
        </a:p>
      </xdr:txBody>
    </xdr:sp>
    <xdr:clientData/>
  </xdr:twoCellAnchor>
  <xdr:oneCellAnchor>
    <xdr:from>
      <xdr:col>3</xdr:col>
      <xdr:colOff>510283</xdr:colOff>
      <xdr:row>4</xdr:row>
      <xdr:rowOff>159835</xdr:rowOff>
    </xdr:from>
    <xdr:ext cx="2457339" cy="374141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67EB46C1-9C9F-4145-BDE0-C8CFEAFEAEA4}"/>
            </a:ext>
          </a:extLst>
        </xdr:cNvPr>
        <xdr:cNvSpPr/>
      </xdr:nvSpPr>
      <xdr:spPr>
        <a:xfrm>
          <a:off x="2529583" y="1696535"/>
          <a:ext cx="2457339" cy="374141"/>
        </a:xfrm>
        <a:prstGeom prst="rect">
          <a:avLst/>
        </a:prstGeom>
        <a:noFill/>
      </xdr:spPr>
      <xdr:txBody>
        <a:bodyPr wrap="none" lIns="91440" tIns="45720" rIns="91440" bIns="45720" anchor="ctr">
          <a:spAutoFit/>
        </a:bodyPr>
        <a:lstStyle/>
        <a:p>
          <a:pPr algn="ctr"/>
          <a:r>
            <a:rPr lang="en-US" sz="1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     ACTIVE CUSTOMERS</a:t>
          </a:r>
        </a:p>
      </xdr:txBody>
    </xdr:sp>
    <xdr:clientData/>
  </xdr:oneCellAnchor>
  <xdr:oneCellAnchor>
    <xdr:from>
      <xdr:col>8</xdr:col>
      <xdr:colOff>229573</xdr:colOff>
      <xdr:row>5</xdr:row>
      <xdr:rowOff>55060</xdr:rowOff>
    </xdr:from>
    <xdr:ext cx="1893532" cy="374141"/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94EBFD1C-86F9-4D4C-9A53-F6F8BAD7882C}"/>
            </a:ext>
          </a:extLst>
        </xdr:cNvPr>
        <xdr:cNvSpPr/>
      </xdr:nvSpPr>
      <xdr:spPr>
        <a:xfrm>
          <a:off x="5563573" y="1255210"/>
          <a:ext cx="1893532" cy="374141"/>
        </a:xfrm>
        <a:prstGeom prst="rect">
          <a:avLst/>
        </a:prstGeom>
        <a:noFill/>
      </xdr:spPr>
      <xdr:txBody>
        <a:bodyPr wrap="none" lIns="91440" tIns="45720" rIns="91440" bIns="45720" anchor="b">
          <a:spAutoFit/>
        </a:bodyPr>
        <a:lstStyle/>
        <a:p>
          <a:pPr algn="l"/>
          <a:r>
            <a:rPr lang="en-US" sz="1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TOTAL ACCOUNTS</a:t>
          </a:r>
        </a:p>
      </xdr:txBody>
    </xdr:sp>
    <xdr:clientData/>
  </xdr:oneCellAnchor>
  <xdr:oneCellAnchor>
    <xdr:from>
      <xdr:col>12</xdr:col>
      <xdr:colOff>24598</xdr:colOff>
      <xdr:row>5</xdr:row>
      <xdr:rowOff>11245</xdr:rowOff>
    </xdr:from>
    <xdr:ext cx="1754839" cy="374141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4635925B-220C-4FF0-99EF-A01DA037E9C8}"/>
            </a:ext>
          </a:extLst>
        </xdr:cNvPr>
        <xdr:cNvSpPr/>
      </xdr:nvSpPr>
      <xdr:spPr>
        <a:xfrm>
          <a:off x="8071318" y="1306645"/>
          <a:ext cx="1754839" cy="3741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1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TOTAL DEPOSITS</a:t>
          </a:r>
        </a:p>
      </xdr:txBody>
    </xdr:sp>
    <xdr:clientData/>
  </xdr:oneCellAnchor>
  <xdr:oneCellAnchor>
    <xdr:from>
      <xdr:col>14</xdr:col>
      <xdr:colOff>638648</xdr:colOff>
      <xdr:row>5</xdr:row>
      <xdr:rowOff>11245</xdr:rowOff>
    </xdr:from>
    <xdr:ext cx="2463496" cy="374141"/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234AE538-79DC-4925-BCDC-FA8F53D0E0F2}"/>
            </a:ext>
          </a:extLst>
        </xdr:cNvPr>
        <xdr:cNvSpPr/>
      </xdr:nvSpPr>
      <xdr:spPr>
        <a:xfrm>
          <a:off x="10062048" y="1725745"/>
          <a:ext cx="2463496" cy="374141"/>
        </a:xfrm>
        <a:prstGeom prst="rect">
          <a:avLst/>
        </a:prstGeom>
        <a:noFill/>
      </xdr:spPr>
      <xdr:txBody>
        <a:bodyPr wrap="none" lIns="91440" tIns="45720" rIns="91440" bIns="45720" anchor="ctr">
          <a:spAutoFit/>
        </a:bodyPr>
        <a:lstStyle/>
        <a:p>
          <a:pPr algn="ctr"/>
          <a:r>
            <a:rPr lang="en-US" sz="1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 TOTAL TRANSACTIONS</a:t>
          </a:r>
        </a:p>
      </xdr:txBody>
    </xdr:sp>
    <xdr:clientData/>
  </xdr:oneCellAnchor>
  <xdr:oneCellAnchor>
    <xdr:from>
      <xdr:col>19</xdr:col>
      <xdr:colOff>184655</xdr:colOff>
      <xdr:row>5</xdr:row>
      <xdr:rowOff>56965</xdr:rowOff>
    </xdr:from>
    <xdr:ext cx="1846211" cy="374141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EDB57D95-2A4E-4F1B-A930-7558655543F8}"/>
            </a:ext>
          </a:extLst>
        </xdr:cNvPr>
        <xdr:cNvSpPr/>
      </xdr:nvSpPr>
      <xdr:spPr>
        <a:xfrm>
          <a:off x="12925295" y="1352365"/>
          <a:ext cx="1846211" cy="3741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1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LOAN</a:t>
          </a:r>
          <a:r>
            <a:rPr lang="en-US" sz="18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PORTFOLIO</a:t>
          </a:r>
          <a:endParaRPr lang="en-US" sz="18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23</xdr:col>
      <xdr:colOff>37447</xdr:colOff>
      <xdr:row>5</xdr:row>
      <xdr:rowOff>45535</xdr:rowOff>
    </xdr:from>
    <xdr:ext cx="1572930" cy="374141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EA24AF66-0111-4ABE-A6D8-CE4FB1715CE8}"/>
            </a:ext>
          </a:extLst>
        </xdr:cNvPr>
        <xdr:cNvSpPr/>
      </xdr:nvSpPr>
      <xdr:spPr>
        <a:xfrm>
          <a:off x="15460327" y="1340935"/>
          <a:ext cx="1572930" cy="3741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1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DEFAULT</a:t>
          </a:r>
          <a:r>
            <a:rPr lang="en-US" sz="18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RATE</a:t>
          </a:r>
          <a:endParaRPr lang="en-US" sz="18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0</xdr:col>
      <xdr:colOff>384373</xdr:colOff>
      <xdr:row>4</xdr:row>
      <xdr:rowOff>169360</xdr:rowOff>
    </xdr:from>
    <xdr:ext cx="2185919" cy="374141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1FCF0883-9A4A-48ED-B95C-40787AFEF3F5}"/>
            </a:ext>
          </a:extLst>
        </xdr:cNvPr>
        <xdr:cNvSpPr/>
      </xdr:nvSpPr>
      <xdr:spPr>
        <a:xfrm>
          <a:off x="384373" y="1706060"/>
          <a:ext cx="2185919" cy="374141"/>
        </a:xfrm>
        <a:prstGeom prst="rect">
          <a:avLst/>
        </a:prstGeom>
        <a:noFill/>
      </xdr:spPr>
      <xdr:txBody>
        <a:bodyPr wrap="none" lIns="91440" tIns="45720" rIns="91440" bIns="45720" anchor="t">
          <a:spAutoFit/>
        </a:bodyPr>
        <a:lstStyle/>
        <a:p>
          <a:pPr algn="ctr"/>
          <a:r>
            <a:rPr lang="en-US" sz="1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</a:t>
          </a:r>
          <a:r>
            <a:rPr lang="en-US" sz="18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T</a:t>
          </a:r>
          <a:r>
            <a:rPr lang="en-US" sz="1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OTAL</a:t>
          </a:r>
          <a:r>
            <a:rPr lang="en-US" sz="18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CUSTOMERS</a:t>
          </a:r>
          <a:endParaRPr lang="en-US" sz="18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29</xdr:col>
      <xdr:colOff>50800</xdr:colOff>
      <xdr:row>19</xdr:row>
      <xdr:rowOff>152400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C1594E7F-B3B6-406D-8004-1D9B0F603FE2}"/>
            </a:ext>
          </a:extLst>
        </xdr:cNvPr>
        <xdr:cNvSpPr txBox="1"/>
      </xdr:nvSpPr>
      <xdr:spPr>
        <a:xfrm>
          <a:off x="19570700" y="3937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18</xdr:col>
      <xdr:colOff>171450</xdr:colOff>
      <xdr:row>9</xdr:row>
      <xdr:rowOff>96874</xdr:rowOff>
    </xdr:from>
    <xdr:to>
      <xdr:col>25</xdr:col>
      <xdr:colOff>441960</xdr:colOff>
      <xdr:row>24</xdr:row>
      <xdr:rowOff>85444</xdr:rowOff>
    </xdr:to>
    <xdr:grpSp>
      <xdr:nvGrpSpPr>
        <xdr:cNvPr id="59" name="Group 58">
          <a:extLst>
            <a:ext uri="{FF2B5EF4-FFF2-40B4-BE49-F238E27FC236}">
              <a16:creationId xmlns:a16="http://schemas.microsoft.com/office/drawing/2014/main" id="{3650C0B1-8457-4783-B096-F212D2122748}"/>
            </a:ext>
          </a:extLst>
        </xdr:cNvPr>
        <xdr:cNvGrpSpPr/>
      </xdr:nvGrpSpPr>
      <xdr:grpSpPr>
        <a:xfrm>
          <a:off x="12232071" y="2487977"/>
          <a:ext cx="4960751" cy="2550467"/>
          <a:chOff x="13716000" y="2895600"/>
          <a:chExt cx="4216400" cy="2355850"/>
        </a:xfrm>
      </xdr:grpSpPr>
      <xdr:sp macro="" textlink="">
        <xdr:nvSpPr>
          <xdr:cNvPr id="47" name="Rectangle: Rounded Corners 46">
            <a:extLst>
              <a:ext uri="{FF2B5EF4-FFF2-40B4-BE49-F238E27FC236}">
                <a16:creationId xmlns:a16="http://schemas.microsoft.com/office/drawing/2014/main" id="{5F0CDD89-CB3A-4CDE-9CAE-40C57B76E191}"/>
              </a:ext>
            </a:extLst>
          </xdr:cNvPr>
          <xdr:cNvSpPr/>
        </xdr:nvSpPr>
        <xdr:spPr>
          <a:xfrm>
            <a:off x="13716000" y="2895600"/>
            <a:ext cx="4216400" cy="2355850"/>
          </a:xfrm>
          <a:prstGeom prst="roundRect">
            <a:avLst/>
          </a:prstGeom>
          <a:solidFill>
            <a:schemeClr val="bg1"/>
          </a:solidFill>
          <a:ln>
            <a:solidFill>
              <a:schemeClr val="bg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400" b="1">
                <a:solidFill>
                  <a:schemeClr val="tx2"/>
                </a:solidFill>
              </a:rPr>
              <a:t>        </a:t>
            </a:r>
            <a:r>
              <a:rPr lang="en-US" sz="1400" b="1" baseline="0">
                <a:solidFill>
                  <a:schemeClr val="tx2"/>
                </a:solidFill>
              </a:rPr>
              <a:t>     </a:t>
            </a:r>
            <a:r>
              <a:rPr lang="en-US" sz="1800" b="1" baseline="0">
                <a:solidFill>
                  <a:schemeClr val="tx2"/>
                </a:solidFill>
              </a:rPr>
              <a:t>AC</a:t>
            </a:r>
            <a:r>
              <a:rPr lang="en-US" sz="1800" b="1">
                <a:solidFill>
                  <a:schemeClr val="tx2"/>
                </a:solidFill>
              </a:rPr>
              <a:t>COUNT BALNACE</a:t>
            </a:r>
            <a:r>
              <a:rPr lang="en-US" sz="1800" b="1" baseline="0">
                <a:solidFill>
                  <a:schemeClr val="tx2"/>
                </a:solidFill>
              </a:rPr>
              <a:t> OVERVIEW</a:t>
            </a:r>
          </a:p>
          <a:p>
            <a:pPr algn="l"/>
            <a:endParaRPr lang="en-US" sz="1600" b="1" baseline="0">
              <a:solidFill>
                <a:schemeClr val="tx2"/>
              </a:solidFill>
            </a:endParaRPr>
          </a:p>
          <a:p>
            <a:pPr algn="l"/>
            <a:r>
              <a:rPr lang="en-US" sz="1400" b="1" baseline="0">
                <a:solidFill>
                  <a:schemeClr val="tx2"/>
                </a:solidFill>
              </a:rPr>
              <a:t>TOTAL BALANCE                                         </a:t>
            </a:r>
          </a:p>
          <a:p>
            <a:pPr algn="l"/>
            <a:endParaRPr lang="en-US" sz="1400" b="1" baseline="0">
              <a:solidFill>
                <a:schemeClr val="tx2"/>
              </a:solidFill>
            </a:endParaRPr>
          </a:p>
          <a:p>
            <a:pPr algn="l"/>
            <a:r>
              <a:rPr lang="en-US" sz="1400" b="1" baseline="0">
                <a:solidFill>
                  <a:schemeClr val="tx2"/>
                </a:solidFill>
              </a:rPr>
              <a:t>ACTIVE ACCOUNT BALANCE</a:t>
            </a:r>
          </a:p>
          <a:p>
            <a:pPr algn="l"/>
            <a:endParaRPr lang="en-US" sz="1400" b="1" baseline="0">
              <a:solidFill>
                <a:schemeClr val="tx2"/>
              </a:solidFill>
            </a:endParaRPr>
          </a:p>
          <a:p>
            <a:pPr algn="l"/>
            <a:r>
              <a:rPr lang="en-US" sz="1400" b="1" baseline="0">
                <a:solidFill>
                  <a:schemeClr val="tx2"/>
                </a:solidFill>
              </a:rPr>
              <a:t>AVERAGE ACCOUNT BALANCE</a:t>
            </a:r>
          </a:p>
          <a:p>
            <a:pPr algn="l"/>
            <a:endParaRPr lang="en-US" sz="1400" b="1" baseline="0">
              <a:solidFill>
                <a:schemeClr val="tx2"/>
              </a:solidFill>
            </a:endParaRPr>
          </a:p>
          <a:p>
            <a:pPr algn="l"/>
            <a:r>
              <a:rPr lang="en-US" sz="1400" b="1" baseline="0">
                <a:solidFill>
                  <a:schemeClr val="tx2"/>
                </a:solidFill>
              </a:rPr>
              <a:t>HIGHEST ACCOUNT BALANCE</a:t>
            </a:r>
            <a:endParaRPr lang="en-US" sz="1400" b="1">
              <a:solidFill>
                <a:schemeClr val="tx2"/>
              </a:solidFill>
            </a:endParaRPr>
          </a:p>
        </xdr:txBody>
      </xdr:sp>
      <xdr:sp macro="" textlink="kpi!E128">
        <xdr:nvSpPr>
          <xdr:cNvPr id="49" name="TextBox 48">
            <a:extLst>
              <a:ext uri="{FF2B5EF4-FFF2-40B4-BE49-F238E27FC236}">
                <a16:creationId xmlns:a16="http://schemas.microsoft.com/office/drawing/2014/main" id="{3838BCB2-535A-41B7-975F-B22ED6A6017D}"/>
              </a:ext>
            </a:extLst>
          </xdr:cNvPr>
          <xdr:cNvSpPr txBox="1"/>
        </xdr:nvSpPr>
        <xdr:spPr>
          <a:xfrm>
            <a:off x="16294100" y="3422650"/>
            <a:ext cx="1511300" cy="381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r"/>
            <a:fld id="{DA41DA80-AB33-4249-A570-9E93DD5F7108}" type="TxLink">
              <a:rPr lang="en-US" sz="1600" b="1" i="0" u="none" strike="noStrike">
                <a:solidFill>
                  <a:srgbClr val="000000"/>
                </a:solidFill>
                <a:latin typeface="+mj-lt"/>
              </a:rPr>
              <a:pPr algn="r"/>
              <a:t>4.105B</a:t>
            </a:fld>
            <a:endParaRPr lang="en-US" sz="1600" b="1">
              <a:latin typeface="+mj-lt"/>
            </a:endParaRPr>
          </a:p>
        </xdr:txBody>
      </xdr:sp>
      <xdr:sp macro="" textlink="kpi!N27">
        <xdr:nvSpPr>
          <xdr:cNvPr id="51" name="TextBox 50">
            <a:extLst>
              <a:ext uri="{FF2B5EF4-FFF2-40B4-BE49-F238E27FC236}">
                <a16:creationId xmlns:a16="http://schemas.microsoft.com/office/drawing/2014/main" id="{B53BFAF7-8149-4E18-9CCA-397E3AC46F2B}"/>
              </a:ext>
            </a:extLst>
          </xdr:cNvPr>
          <xdr:cNvSpPr txBox="1"/>
        </xdr:nvSpPr>
        <xdr:spPr>
          <a:xfrm>
            <a:off x="16986250" y="4248150"/>
            <a:ext cx="768350" cy="215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r"/>
            <a:fld id="{44D30374-15B7-4441-BA2B-5EE1244448F0}" type="TxLink">
              <a:rPr lang="en-US" sz="1600" b="1" i="0" u="none" strike="noStrike">
                <a:solidFill>
                  <a:srgbClr val="000000"/>
                </a:solidFill>
                <a:latin typeface="Aptos Narrow"/>
              </a:rPr>
              <a:pPr algn="r"/>
              <a:t>4B</a:t>
            </a:fld>
            <a:endParaRPr lang="en-US" sz="1600" b="1"/>
          </a:p>
        </xdr:txBody>
      </xdr:sp>
      <xdr:sp macro="" textlink="kpi!N28">
        <xdr:nvSpPr>
          <xdr:cNvPr id="52" name="TextBox 51">
            <a:extLst>
              <a:ext uri="{FF2B5EF4-FFF2-40B4-BE49-F238E27FC236}">
                <a16:creationId xmlns:a16="http://schemas.microsoft.com/office/drawing/2014/main" id="{616F9210-8350-4E69-8C2B-8F00A9779CFF}"/>
              </a:ext>
            </a:extLst>
          </xdr:cNvPr>
          <xdr:cNvSpPr txBox="1"/>
        </xdr:nvSpPr>
        <xdr:spPr>
          <a:xfrm>
            <a:off x="17049750" y="4711700"/>
            <a:ext cx="679450" cy="2413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r"/>
            <a:fld id="{3954C0DF-25AC-46D8-A2A6-0B5D20771563}" type="TxLink">
              <a:rPr lang="en-US" sz="1600" b="1" i="0" u="none" strike="noStrike">
                <a:solidFill>
                  <a:srgbClr val="000000"/>
                </a:solidFill>
                <a:latin typeface="Aptos Narrow"/>
              </a:rPr>
              <a:pPr algn="r"/>
              <a:t>6B</a:t>
            </a:fld>
            <a:endParaRPr lang="en-US" sz="1600" b="1"/>
          </a:p>
        </xdr:txBody>
      </xdr:sp>
      <xdr:sp macro="" textlink="kpi!E127">
        <xdr:nvSpPr>
          <xdr:cNvPr id="53" name="TextBox 52">
            <a:extLst>
              <a:ext uri="{FF2B5EF4-FFF2-40B4-BE49-F238E27FC236}">
                <a16:creationId xmlns:a16="http://schemas.microsoft.com/office/drawing/2014/main" id="{8A02A75C-B7FF-4D21-8B2D-2515C530AA7F}"/>
              </a:ext>
            </a:extLst>
          </xdr:cNvPr>
          <xdr:cNvSpPr txBox="1"/>
        </xdr:nvSpPr>
        <xdr:spPr>
          <a:xfrm>
            <a:off x="17125950" y="3841750"/>
            <a:ext cx="806450" cy="2794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D788E488-BA90-46EF-9E1B-969AE3747B6D}" type="TxLink">
              <a:rPr lang="en-US" sz="1600" b="1" i="0" u="none" strike="noStrike">
                <a:solidFill>
                  <a:srgbClr val="000000"/>
                </a:solidFill>
                <a:latin typeface="Aptos Narrow"/>
              </a:rPr>
              <a:pPr/>
              <a:t>3.419B</a:t>
            </a:fld>
            <a:endParaRPr lang="en-US" sz="1600" b="1"/>
          </a:p>
        </xdr:txBody>
      </xdr:sp>
      <xdr:pic>
        <xdr:nvPicPr>
          <xdr:cNvPr id="55" name="Graphic 54" descr="Coins with solid fill">
            <a:extLst>
              <a:ext uri="{FF2B5EF4-FFF2-40B4-BE49-F238E27FC236}">
                <a16:creationId xmlns:a16="http://schemas.microsoft.com/office/drawing/2014/main" id="{DAE8756C-75BA-4BC1-B17C-08F0FFBAB20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1"/>
              </a:ext>
            </a:extLst>
          </a:blip>
          <a:stretch>
            <a:fillRect/>
          </a:stretch>
        </xdr:blipFill>
        <xdr:spPr>
          <a:xfrm>
            <a:off x="13804900" y="2959100"/>
            <a:ext cx="641350" cy="472722"/>
          </a:xfrm>
          <a:prstGeom prst="rect">
            <a:avLst/>
          </a:prstGeom>
        </xdr:spPr>
      </xdr:pic>
    </xdr:grpSp>
    <xdr:clientData/>
  </xdr:twoCellAnchor>
  <xdr:twoCellAnchor>
    <xdr:from>
      <xdr:col>18</xdr:col>
      <xdr:colOff>152400</xdr:colOff>
      <xdr:row>40</xdr:row>
      <xdr:rowOff>19050</xdr:rowOff>
    </xdr:from>
    <xdr:to>
      <xdr:col>25</xdr:col>
      <xdr:colOff>422910</xdr:colOff>
      <xdr:row>55</xdr:row>
      <xdr:rowOff>7620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52747AE6-D6B0-4693-BE1E-2FA554F1C849}"/>
            </a:ext>
          </a:extLst>
        </xdr:cNvPr>
        <xdr:cNvGrpSpPr/>
      </xdr:nvGrpSpPr>
      <xdr:grpSpPr>
        <a:xfrm>
          <a:off x="12213021" y="7704740"/>
          <a:ext cx="4960751" cy="2550466"/>
          <a:chOff x="15487650" y="8191500"/>
          <a:chExt cx="4937760" cy="2560320"/>
        </a:xfrm>
      </xdr:grpSpPr>
      <xdr:sp macro="" textlink="">
        <xdr:nvSpPr>
          <xdr:cNvPr id="2" name="Rectangle: Rounded Corners 1">
            <a:extLst>
              <a:ext uri="{FF2B5EF4-FFF2-40B4-BE49-F238E27FC236}">
                <a16:creationId xmlns:a16="http://schemas.microsoft.com/office/drawing/2014/main" id="{FD331F5F-BCD9-4BD5-AA2A-6B6B58FAC7B5}"/>
              </a:ext>
            </a:extLst>
          </xdr:cNvPr>
          <xdr:cNvSpPr/>
        </xdr:nvSpPr>
        <xdr:spPr>
          <a:xfrm>
            <a:off x="15487650" y="8191500"/>
            <a:ext cx="4937760" cy="2560320"/>
          </a:xfrm>
          <a:prstGeom prst="roundRect">
            <a:avLst/>
          </a:prstGeom>
          <a:solidFill>
            <a:schemeClr val="bg1"/>
          </a:solidFill>
          <a:ln>
            <a:solidFill>
              <a:schemeClr val="bg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1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REVENUE SUMMARY</a:t>
            </a:r>
            <a:endParaRPr lang="en-US" sz="1400">
              <a:effectLst/>
            </a:endParaRPr>
          </a:p>
          <a:p>
            <a:pPr algn="l"/>
            <a:r>
              <a:rPr lang="en-US" sz="1400">
                <a:solidFill>
                  <a:schemeClr val="tx2"/>
                </a:solidFill>
              </a:rPr>
              <a:t>            </a:t>
            </a:r>
            <a:r>
              <a:rPr lang="en-US" sz="1400" b="1">
                <a:solidFill>
                  <a:schemeClr val="tx2"/>
                </a:solidFill>
              </a:rPr>
              <a:t>REVENUE SUMMARY</a:t>
            </a:r>
          </a:p>
          <a:p>
            <a:pPr algn="l"/>
            <a:endParaRPr lang="en-US" sz="1100">
              <a:solidFill>
                <a:schemeClr val="tx2"/>
              </a:solidFill>
            </a:endParaRPr>
          </a:p>
          <a:p>
            <a:pPr algn="l"/>
            <a:endParaRPr lang="en-US" sz="1200" b="1">
              <a:solidFill>
                <a:schemeClr val="tx2"/>
              </a:solidFill>
            </a:endParaRPr>
          </a:p>
          <a:p>
            <a:pPr algn="l"/>
            <a:r>
              <a:rPr lang="en-US" sz="1200" b="1">
                <a:solidFill>
                  <a:schemeClr val="tx2"/>
                </a:solidFill>
              </a:rPr>
              <a:t>LOAN INTEREST INCOME</a:t>
            </a:r>
          </a:p>
          <a:p>
            <a:pPr algn="l"/>
            <a:endParaRPr lang="en-US" sz="1200" b="1">
              <a:solidFill>
                <a:schemeClr val="tx2"/>
              </a:solidFill>
            </a:endParaRPr>
          </a:p>
          <a:p>
            <a:pPr algn="l"/>
            <a:r>
              <a:rPr lang="en-US" sz="1200" b="1">
                <a:solidFill>
                  <a:schemeClr val="tx2"/>
                </a:solidFill>
              </a:rPr>
              <a:t>MORTGAGE INTEREST INCOME</a:t>
            </a:r>
          </a:p>
          <a:p>
            <a:pPr algn="l"/>
            <a:endParaRPr lang="en-US" sz="1200" b="1">
              <a:solidFill>
                <a:schemeClr val="tx2"/>
              </a:solidFill>
            </a:endParaRPr>
          </a:p>
          <a:p>
            <a:pPr algn="l"/>
            <a:r>
              <a:rPr lang="en-US" sz="1200" b="1">
                <a:solidFill>
                  <a:schemeClr val="tx2"/>
                </a:solidFill>
              </a:rPr>
              <a:t>TRANSACTION FEE INCOME</a:t>
            </a:r>
          </a:p>
          <a:p>
            <a:pPr algn="l"/>
            <a:endParaRPr lang="en-US" sz="1200" b="1">
              <a:solidFill>
                <a:schemeClr val="tx2"/>
              </a:solidFill>
            </a:endParaRPr>
          </a:p>
          <a:p>
            <a:pPr algn="l"/>
            <a:r>
              <a:rPr lang="en-US" sz="1200" b="1">
                <a:solidFill>
                  <a:schemeClr val="tx2"/>
                </a:solidFill>
              </a:rPr>
              <a:t>TRANSFER FEE INCOME</a:t>
            </a:r>
          </a:p>
        </xdr:txBody>
      </xdr:sp>
      <xdr:sp macro="" textlink="kpi!W13">
        <xdr:nvSpPr>
          <xdr:cNvPr id="5" name="TextBox 4">
            <a:extLst>
              <a:ext uri="{FF2B5EF4-FFF2-40B4-BE49-F238E27FC236}">
                <a16:creationId xmlns:a16="http://schemas.microsoft.com/office/drawing/2014/main" id="{9692C2BB-E064-4A43-9F89-923F866098EA}"/>
              </a:ext>
            </a:extLst>
          </xdr:cNvPr>
          <xdr:cNvSpPr txBox="1"/>
        </xdr:nvSpPr>
        <xdr:spPr>
          <a:xfrm>
            <a:off x="19583400" y="9004300"/>
            <a:ext cx="812800" cy="4318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fld id="{ED3FA1C1-9ADE-4B20-8FB7-F0F5ED637C43}" type="TxLink">
              <a:rPr lang="en-US" sz="1200" b="1" i="0" u="none" strike="noStrike">
                <a:solidFill>
                  <a:srgbClr val="000000"/>
                </a:solidFill>
                <a:latin typeface="Aptos Narrow"/>
              </a:rPr>
              <a:pPr algn="r"/>
              <a:t>158M</a:t>
            </a:fld>
            <a:endParaRPr lang="en-US" sz="1200" b="1"/>
          </a:p>
        </xdr:txBody>
      </xdr:sp>
      <xdr:grpSp>
        <xdr:nvGrpSpPr>
          <xdr:cNvPr id="11" name="Group 10">
            <a:extLst>
              <a:ext uri="{FF2B5EF4-FFF2-40B4-BE49-F238E27FC236}">
                <a16:creationId xmlns:a16="http://schemas.microsoft.com/office/drawing/2014/main" id="{48299CF2-BDE3-4157-A36A-5A531F7298C6}"/>
              </a:ext>
            </a:extLst>
          </xdr:cNvPr>
          <xdr:cNvGrpSpPr/>
        </xdr:nvGrpSpPr>
        <xdr:grpSpPr>
          <a:xfrm>
            <a:off x="15722600" y="8369300"/>
            <a:ext cx="4699000" cy="2349500"/>
            <a:chOff x="15722600" y="8369300"/>
            <a:chExt cx="4699000" cy="2349500"/>
          </a:xfrm>
        </xdr:grpSpPr>
        <xdr:pic>
          <xdr:nvPicPr>
            <xdr:cNvPr id="4" name="Graphic 3" descr="Dollar with solid fill">
              <a:extLst>
                <a:ext uri="{FF2B5EF4-FFF2-40B4-BE49-F238E27FC236}">
                  <a16:creationId xmlns:a16="http://schemas.microsoft.com/office/drawing/2014/main" id="{E9B19B33-8DE9-4F77-B70F-99213520F22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2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13"/>
                </a:ext>
              </a:extLst>
            </a:blip>
            <a:stretch>
              <a:fillRect/>
            </a:stretch>
          </xdr:blipFill>
          <xdr:spPr>
            <a:xfrm>
              <a:off x="15722600" y="8369300"/>
              <a:ext cx="654050" cy="635000"/>
            </a:xfrm>
            <a:prstGeom prst="rect">
              <a:avLst/>
            </a:prstGeom>
          </xdr:spPr>
        </xdr:pic>
        <xdr:sp macro="" textlink="kpi!W17">
          <xdr:nvSpPr>
            <xdr:cNvPr id="6" name="TextBox 5">
              <a:extLst>
                <a:ext uri="{FF2B5EF4-FFF2-40B4-BE49-F238E27FC236}">
                  <a16:creationId xmlns:a16="http://schemas.microsoft.com/office/drawing/2014/main" id="{F2A1DFFE-957E-4A31-B195-31EB2889E0F5}"/>
                </a:ext>
              </a:extLst>
            </xdr:cNvPr>
            <xdr:cNvSpPr txBox="1"/>
          </xdr:nvSpPr>
          <xdr:spPr>
            <a:xfrm>
              <a:off x="19386550" y="9518650"/>
              <a:ext cx="1003300" cy="3492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r"/>
              <a:fld id="{2F9D0A2A-118B-4D69-BE85-7597DE4667EE}" type="TxLink">
                <a:rPr lang="en-US" sz="1200" b="1" i="0" u="none" strike="noStrike">
                  <a:solidFill>
                    <a:srgbClr val="000000"/>
                  </a:solidFill>
                  <a:latin typeface="Aptos Narrow"/>
                </a:rPr>
                <a:pPr algn="r"/>
                <a:t>410M</a:t>
              </a:fld>
              <a:endParaRPr lang="en-US" sz="1200" b="1"/>
            </a:p>
          </xdr:txBody>
        </xdr:sp>
        <xdr:sp macro="" textlink="kpi!W21">
          <xdr:nvSpPr>
            <xdr:cNvPr id="7" name="TextBox 6">
              <a:extLst>
                <a:ext uri="{FF2B5EF4-FFF2-40B4-BE49-F238E27FC236}">
                  <a16:creationId xmlns:a16="http://schemas.microsoft.com/office/drawing/2014/main" id="{56498168-DB75-4A2E-909E-CA554CBF1102}"/>
                </a:ext>
              </a:extLst>
            </xdr:cNvPr>
            <xdr:cNvSpPr txBox="1"/>
          </xdr:nvSpPr>
          <xdr:spPr>
            <a:xfrm>
              <a:off x="19304000" y="9925050"/>
              <a:ext cx="1079500" cy="5651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r"/>
              <a:fld id="{33EC8C03-75E7-482C-A4D0-C12CC0679C63}" type="TxLink">
                <a:rPr lang="en-US" sz="1200" b="1" i="0" u="none" strike="noStrike">
                  <a:solidFill>
                    <a:srgbClr val="000000"/>
                  </a:solidFill>
                  <a:latin typeface="Aptos Narrow"/>
                </a:rPr>
                <a:pPr algn="r"/>
                <a:t>58'M</a:t>
              </a:fld>
              <a:endParaRPr lang="en-US" sz="1200" b="1"/>
            </a:p>
          </xdr:txBody>
        </xdr:sp>
        <xdr:sp macro="" textlink="kpi!W25">
          <xdr:nvSpPr>
            <xdr:cNvPr id="8" name="TextBox 7">
              <a:extLst>
                <a:ext uri="{FF2B5EF4-FFF2-40B4-BE49-F238E27FC236}">
                  <a16:creationId xmlns:a16="http://schemas.microsoft.com/office/drawing/2014/main" id="{5AB45440-802F-46A2-857A-2A5832DFACA6}"/>
                </a:ext>
              </a:extLst>
            </xdr:cNvPr>
            <xdr:cNvSpPr txBox="1"/>
          </xdr:nvSpPr>
          <xdr:spPr>
            <a:xfrm>
              <a:off x="19621500" y="10287000"/>
              <a:ext cx="800100" cy="4318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r"/>
              <a:fld id="{6E7F84F1-AA7D-4D77-974E-9C13E122A1C9}" type="TxLink">
                <a:rPr lang="en-US" sz="1200" b="1" i="0" u="none" strike="noStrike">
                  <a:solidFill>
                    <a:srgbClr val="000000"/>
                  </a:solidFill>
                  <a:latin typeface="Aptos Narrow"/>
                </a:rPr>
                <a:pPr algn="r"/>
                <a:t>69239.9</a:t>
              </a:fld>
              <a:endParaRPr lang="en-US" sz="1200" b="1"/>
            </a:p>
          </xdr:txBody>
        </xdr:sp>
      </xdr:grpSp>
    </xdr:grpSp>
    <xdr:clientData/>
  </xdr:twoCellAnchor>
  <xdr:twoCellAnchor editAs="oneCell">
    <xdr:from>
      <xdr:col>0</xdr:col>
      <xdr:colOff>203200</xdr:colOff>
      <xdr:row>4</xdr:row>
      <xdr:rowOff>163106</xdr:rowOff>
    </xdr:from>
    <xdr:to>
      <xdr:col>0</xdr:col>
      <xdr:colOff>583993</xdr:colOff>
      <xdr:row>6</xdr:row>
      <xdr:rowOff>135466</xdr:rowOff>
    </xdr:to>
    <xdr:pic>
      <xdr:nvPicPr>
        <xdr:cNvPr id="9" name="Graphic 8" descr="Users with solid fill">
          <a:extLst>
            <a:ext uri="{FF2B5EF4-FFF2-40B4-BE49-F238E27FC236}">
              <a16:creationId xmlns:a16="http://schemas.microsoft.com/office/drawing/2014/main" id="{0245E0F1-DEC4-408A-B2B8-C485864D58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203200" y="1699806"/>
          <a:ext cx="380793" cy="327960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571500</xdr:colOff>
      <xdr:row>4</xdr:row>
      <xdr:rowOff>152400</xdr:rowOff>
    </xdr:from>
    <xdr:to>
      <xdr:col>4</xdr:col>
      <xdr:colOff>317500</xdr:colOff>
      <xdr:row>7</xdr:row>
      <xdr:rowOff>38100</xdr:rowOff>
    </xdr:to>
    <xdr:pic>
      <xdr:nvPicPr>
        <xdr:cNvPr id="10" name="Graphic 9" descr="Run with solid fill">
          <a:extLst>
            <a:ext uri="{FF2B5EF4-FFF2-40B4-BE49-F238E27FC236}">
              <a16:creationId xmlns:a16="http://schemas.microsoft.com/office/drawing/2014/main" id="{FD365666-04E6-4074-A139-09452FC24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7"/>
            </a:ext>
          </a:extLst>
        </a:blip>
        <a:stretch>
          <a:fillRect/>
        </a:stretch>
      </xdr:blipFill>
      <xdr:spPr>
        <a:xfrm>
          <a:off x="2590800" y="1689100"/>
          <a:ext cx="419100" cy="419100"/>
        </a:xfrm>
        <a:prstGeom prst="rect">
          <a:avLst/>
        </a:prstGeom>
      </xdr:spPr>
    </xdr:pic>
    <xdr:clientData/>
  </xdr:twoCellAnchor>
  <xdr:twoCellAnchor editAs="oneCell">
    <xdr:from>
      <xdr:col>7</xdr:col>
      <xdr:colOff>533400</xdr:colOff>
      <xdr:row>5</xdr:row>
      <xdr:rowOff>63500</xdr:rowOff>
    </xdr:from>
    <xdr:to>
      <xdr:col>8</xdr:col>
      <xdr:colOff>292100</xdr:colOff>
      <xdr:row>7</xdr:row>
      <xdr:rowOff>139700</xdr:rowOff>
    </xdr:to>
    <xdr:pic>
      <xdr:nvPicPr>
        <xdr:cNvPr id="12" name="Graphic 11" descr="Bank with solid fill">
          <a:extLst>
            <a:ext uri="{FF2B5EF4-FFF2-40B4-BE49-F238E27FC236}">
              <a16:creationId xmlns:a16="http://schemas.microsoft.com/office/drawing/2014/main" id="{D0C5C5E4-B472-4CCB-BE30-D38DF52AAE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9"/>
            </a:ext>
          </a:extLst>
        </a:blip>
        <a:stretch>
          <a:fillRect/>
        </a:stretch>
      </xdr:blipFill>
      <xdr:spPr>
        <a:xfrm>
          <a:off x="5245100" y="1778000"/>
          <a:ext cx="431800" cy="431800"/>
        </a:xfrm>
        <a:prstGeom prst="rect">
          <a:avLst/>
        </a:prstGeom>
      </xdr:spPr>
    </xdr:pic>
    <xdr:clientData/>
  </xdr:twoCellAnchor>
  <xdr:twoCellAnchor editAs="oneCell">
    <xdr:from>
      <xdr:col>11</xdr:col>
      <xdr:colOff>368300</xdr:colOff>
      <xdr:row>4</xdr:row>
      <xdr:rowOff>165100</xdr:rowOff>
    </xdr:from>
    <xdr:to>
      <xdr:col>12</xdr:col>
      <xdr:colOff>139700</xdr:colOff>
      <xdr:row>7</xdr:row>
      <xdr:rowOff>76200</xdr:rowOff>
    </xdr:to>
    <xdr:pic>
      <xdr:nvPicPr>
        <xdr:cNvPr id="16" name="Graphic 15" descr="Money with solid fill">
          <a:extLst>
            <a:ext uri="{FF2B5EF4-FFF2-40B4-BE49-F238E27FC236}">
              <a16:creationId xmlns:a16="http://schemas.microsoft.com/office/drawing/2014/main" id="{6BDA238F-209A-47D2-A786-1D951B56F6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1"/>
            </a:ext>
          </a:extLst>
        </a:blip>
        <a:stretch>
          <a:fillRect/>
        </a:stretch>
      </xdr:blipFill>
      <xdr:spPr>
        <a:xfrm>
          <a:off x="7772400" y="1701800"/>
          <a:ext cx="444500" cy="444500"/>
        </a:xfrm>
        <a:prstGeom prst="rect">
          <a:avLst/>
        </a:prstGeom>
      </xdr:spPr>
    </xdr:pic>
    <xdr:clientData/>
  </xdr:twoCellAnchor>
  <xdr:twoCellAnchor editAs="oneCell">
    <xdr:from>
      <xdr:col>15</xdr:col>
      <xdr:colOff>25400</xdr:colOff>
      <xdr:row>5</xdr:row>
      <xdr:rowOff>101600</xdr:rowOff>
    </xdr:from>
    <xdr:to>
      <xdr:col>15</xdr:col>
      <xdr:colOff>228600</xdr:colOff>
      <xdr:row>6</xdr:row>
      <xdr:rowOff>127000</xdr:rowOff>
    </xdr:to>
    <xdr:pic>
      <xdr:nvPicPr>
        <xdr:cNvPr id="39" name="Graphic 38" descr="Transfer with solid fill">
          <a:extLst>
            <a:ext uri="{FF2B5EF4-FFF2-40B4-BE49-F238E27FC236}">
              <a16:creationId xmlns:a16="http://schemas.microsoft.com/office/drawing/2014/main" id="{DD6F8F77-AB06-4431-8663-042C7B3562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3"/>
            </a:ext>
          </a:extLst>
        </a:blip>
        <a:stretch>
          <a:fillRect/>
        </a:stretch>
      </xdr:blipFill>
      <xdr:spPr>
        <a:xfrm>
          <a:off x="10121900" y="1816100"/>
          <a:ext cx="203200" cy="203200"/>
        </a:xfrm>
        <a:prstGeom prst="rect">
          <a:avLst/>
        </a:prstGeom>
      </xdr:spPr>
    </xdr:pic>
    <xdr:clientData/>
  </xdr:twoCellAnchor>
  <xdr:twoCellAnchor editAs="oneCell">
    <xdr:from>
      <xdr:col>18</xdr:col>
      <xdr:colOff>431800</xdr:colOff>
      <xdr:row>5</xdr:row>
      <xdr:rowOff>0</xdr:rowOff>
    </xdr:from>
    <xdr:to>
      <xdr:col>19</xdr:col>
      <xdr:colOff>304800</xdr:colOff>
      <xdr:row>8</xdr:row>
      <xdr:rowOff>12700</xdr:rowOff>
    </xdr:to>
    <xdr:pic>
      <xdr:nvPicPr>
        <xdr:cNvPr id="54" name="Graphic 53" descr="Piggy Bank with solid fill">
          <a:extLst>
            <a:ext uri="{FF2B5EF4-FFF2-40B4-BE49-F238E27FC236}">
              <a16:creationId xmlns:a16="http://schemas.microsoft.com/office/drawing/2014/main" id="{A483D831-A2EA-4F6F-8E7F-448D60618F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5"/>
            </a:ext>
          </a:extLst>
        </a:blip>
        <a:stretch>
          <a:fillRect/>
        </a:stretch>
      </xdr:blipFill>
      <xdr:spPr>
        <a:xfrm>
          <a:off x="12547600" y="1714500"/>
          <a:ext cx="546100" cy="546100"/>
        </a:xfrm>
        <a:prstGeom prst="rect">
          <a:avLst/>
        </a:prstGeom>
      </xdr:spPr>
    </xdr:pic>
    <xdr:clientData/>
  </xdr:twoCellAnchor>
  <xdr:twoCellAnchor editAs="oneCell">
    <xdr:from>
      <xdr:col>22</xdr:col>
      <xdr:colOff>292100</xdr:colOff>
      <xdr:row>4</xdr:row>
      <xdr:rowOff>152400</xdr:rowOff>
    </xdr:from>
    <xdr:to>
      <xdr:col>23</xdr:col>
      <xdr:colOff>165100</xdr:colOff>
      <xdr:row>7</xdr:row>
      <xdr:rowOff>165100</xdr:rowOff>
    </xdr:to>
    <xdr:pic>
      <xdr:nvPicPr>
        <xdr:cNvPr id="57" name="Graphic 56" descr="Bank with solid fill">
          <a:extLst>
            <a:ext uri="{FF2B5EF4-FFF2-40B4-BE49-F238E27FC236}">
              <a16:creationId xmlns:a16="http://schemas.microsoft.com/office/drawing/2014/main" id="{9F23BAF0-7175-4194-9DAE-681844D5EA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7"/>
            </a:ext>
          </a:extLst>
        </a:blip>
        <a:stretch>
          <a:fillRect/>
        </a:stretch>
      </xdr:blipFill>
      <xdr:spPr>
        <a:xfrm>
          <a:off x="15100300" y="1689100"/>
          <a:ext cx="546100" cy="546100"/>
        </a:xfrm>
        <a:prstGeom prst="rect">
          <a:avLst/>
        </a:prstGeom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0.40728</cdr:x>
      <cdr:y>0.5619</cdr:y>
    </cdr:from>
    <cdr:to>
      <cdr:x>0.48354</cdr:x>
      <cdr:y>0.65714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F70D95B1-376C-4DA8-A557-D1439C2C1BAF}"/>
            </a:ext>
          </a:extLst>
        </cdr:cNvPr>
        <cdr:cNvSpPr txBox="1"/>
      </cdr:nvSpPr>
      <cdr:spPr>
        <a:xfrm xmlns:a="http://schemas.openxmlformats.org/drawingml/2006/main">
          <a:off x="1790700" y="1348740"/>
          <a:ext cx="335280" cy="228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1C669-2DD9-46F0-9FB3-81964F833BEA}">
  <dimension ref="A1:BA90"/>
  <sheetViews>
    <sheetView showGridLines="0" showRowColHeaders="0" tabSelected="1" zoomScale="58" zoomScaleNormal="58" workbookViewId="0">
      <selection activeCell="AF42" sqref="AF42"/>
    </sheetView>
  </sheetViews>
  <sheetFormatPr defaultRowHeight="13.8"/>
  <cols>
    <col min="40" max="40" width="14.3984375" customWidth="1"/>
  </cols>
  <sheetData>
    <row r="1" spans="1:5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</row>
    <row r="2" spans="1:53" ht="27.6">
      <c r="A2" s="4"/>
      <c r="B2" s="13" t="s">
        <v>455</v>
      </c>
      <c r="C2" s="13"/>
      <c r="D2" s="13"/>
      <c r="E2" s="13"/>
      <c r="F2" s="13"/>
      <c r="G2" s="14"/>
      <c r="H2" s="14"/>
      <c r="I2" s="1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</row>
    <row r="3" spans="1:53" ht="22.8">
      <c r="A3" s="4"/>
      <c r="B3" s="6"/>
      <c r="C3" s="6"/>
      <c r="D3" s="6"/>
      <c r="E3" s="6"/>
      <c r="F3" s="6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</row>
    <row r="4" spans="1:53" ht="56.4" customHeight="1">
      <c r="A4" s="5"/>
      <c r="B4" s="7" t="s">
        <v>456</v>
      </c>
      <c r="C4" s="7"/>
      <c r="D4" s="7"/>
      <c r="E4" s="8"/>
      <c r="F4" s="8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</row>
    <row r="5" spans="1:5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</row>
    <row r="6" spans="1:5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</row>
    <row r="7" spans="1:5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</row>
    <row r="8" spans="1:5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</row>
    <row r="9" spans="1:5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</row>
    <row r="10" spans="1:5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</row>
    <row r="11" spans="1:5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</row>
    <row r="12" spans="1:5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</row>
    <row r="13" spans="1:5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</row>
    <row r="14" spans="1:5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</row>
    <row r="15" spans="1:5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</row>
    <row r="16" spans="1:5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</row>
    <row r="17" spans="1:53">
      <c r="A17" s="3"/>
      <c r="B17" s="3"/>
      <c r="C17" s="9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</row>
    <row r="18" spans="1:5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</row>
    <row r="19" spans="1:5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</row>
    <row r="20" spans="1:5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</row>
    <row r="21" spans="1:5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</row>
    <row r="22" spans="1:53">
      <c r="A22" s="3"/>
      <c r="B22" s="3"/>
      <c r="C22" s="3"/>
      <c r="D22" s="3" t="s">
        <v>457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</row>
    <row r="23" spans="1:5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</row>
    <row r="24" spans="1:5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</row>
    <row r="25" spans="1:5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</row>
    <row r="26" spans="1:5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</row>
    <row r="27" spans="1:5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</row>
    <row r="28" spans="1:5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</row>
    <row r="29" spans="1:5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</row>
    <row r="30" spans="1:5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</row>
    <row r="31" spans="1:5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</row>
    <row r="32" spans="1:5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</row>
    <row r="33" spans="1:5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</row>
    <row r="34" spans="1:5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</row>
    <row r="35" spans="1:5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</row>
    <row r="36" spans="1:5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</row>
    <row r="37" spans="1:5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</row>
    <row r="38" spans="1:5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</row>
    <row r="39" spans="1:5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</row>
    <row r="40" spans="1:5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</row>
    <row r="41" spans="1:5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</row>
    <row r="42" spans="1:5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</row>
    <row r="43" spans="1:5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</row>
    <row r="44" spans="1:5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</row>
    <row r="45" spans="1:5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</row>
    <row r="46" spans="1:5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</row>
    <row r="47" spans="1:5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</row>
    <row r="48" spans="1:5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</row>
    <row r="49" spans="1:5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</row>
    <row r="50" spans="1:5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</row>
    <row r="51" spans="1:5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</row>
    <row r="52" spans="1:5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</row>
    <row r="53" spans="1: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</row>
    <row r="54" spans="1:5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</row>
    <row r="55" spans="1:5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</row>
    <row r="56" spans="1:5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</row>
    <row r="57" spans="1:5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</row>
    <row r="58" spans="1:5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</row>
    <row r="59" spans="1:5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</row>
    <row r="60" spans="1:5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</row>
    <row r="61" spans="1:5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</row>
    <row r="62" spans="1:5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</row>
    <row r="63" spans="1:5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</row>
    <row r="64" spans="1:5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</row>
    <row r="65" spans="1:5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</row>
    <row r="66" spans="1:5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</row>
    <row r="67" spans="1:5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</row>
    <row r="68" spans="1:5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</row>
    <row r="69" spans="1:5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</row>
    <row r="70" spans="1:5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</row>
    <row r="71" spans="1:5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</row>
    <row r="72" spans="1:5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</row>
    <row r="73" spans="1:5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</row>
    <row r="74" spans="1:5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</row>
    <row r="75" spans="1:5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</row>
    <row r="76" spans="1:5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</row>
    <row r="77" spans="1:5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</row>
    <row r="78" spans="1:5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</row>
    <row r="79" spans="1:5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</row>
    <row r="80" spans="1:5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</row>
    <row r="81" spans="1:5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</row>
    <row r="82" spans="1:5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</row>
    <row r="83" spans="1:5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</row>
    <row r="84" spans="1:5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</row>
    <row r="85" spans="1:5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</row>
    <row r="86" spans="1:5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</row>
    <row r="87" spans="1:5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</row>
    <row r="88" spans="1:5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</row>
    <row r="89" spans="1:5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</row>
    <row r="90" spans="1:5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FA456-F83B-4E8E-972B-1652FCE90FCD}">
  <dimension ref="A1:AB241"/>
  <sheetViews>
    <sheetView topLeftCell="O11" zoomScale="90" zoomScaleNormal="90" workbookViewId="0">
      <selection activeCell="O46" sqref="O46"/>
    </sheetView>
  </sheetViews>
  <sheetFormatPr defaultRowHeight="13.8"/>
  <cols>
    <col min="1" max="1" width="16.8984375" bestFit="1" customWidth="1"/>
    <col min="2" max="2" width="20.5" bestFit="1" customWidth="1"/>
    <col min="3" max="3" width="19.19921875" bestFit="1" customWidth="1"/>
    <col min="4" max="4" width="26.19921875" bestFit="1" customWidth="1"/>
    <col min="5" max="5" width="21.3984375" bestFit="1" customWidth="1"/>
    <col min="6" max="6" width="24.8984375" bestFit="1" customWidth="1"/>
    <col min="7" max="7" width="27.19921875" bestFit="1" customWidth="1"/>
    <col min="8" max="8" width="26.19921875" bestFit="1" customWidth="1"/>
    <col min="9" max="9" width="18.19921875" bestFit="1" customWidth="1"/>
    <col min="10" max="10" width="19" bestFit="1" customWidth="1"/>
    <col min="11" max="11" width="19.296875" bestFit="1" customWidth="1"/>
    <col min="12" max="12" width="20.296875" bestFit="1" customWidth="1"/>
    <col min="13" max="13" width="16.296875" bestFit="1" customWidth="1"/>
    <col min="14" max="14" width="23" bestFit="1" customWidth="1"/>
    <col min="15" max="15" width="16.5" customWidth="1"/>
    <col min="16" max="16" width="9.09765625" bestFit="1" customWidth="1"/>
    <col min="17" max="17" width="11.8984375" bestFit="1" customWidth="1"/>
    <col min="18" max="18" width="16.5" bestFit="1" customWidth="1"/>
    <col min="19" max="19" width="18.296875" bestFit="1" customWidth="1"/>
    <col min="20" max="20" width="13.296875" bestFit="1" customWidth="1"/>
    <col min="23" max="23" width="26.3984375" bestFit="1" customWidth="1"/>
    <col min="24" max="24" width="24.09765625" bestFit="1" customWidth="1"/>
    <col min="25" max="25" width="17.8984375" bestFit="1" customWidth="1"/>
    <col min="26" max="26" width="12.69921875" bestFit="1" customWidth="1"/>
    <col min="27" max="27" width="15.5" bestFit="1" customWidth="1"/>
    <col min="28" max="28" width="11.59765625" bestFit="1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151</v>
      </c>
      <c r="H1" s="1" t="s">
        <v>152</v>
      </c>
      <c r="I1" s="1" t="s">
        <v>3</v>
      </c>
      <c r="J1" s="1" t="s">
        <v>153</v>
      </c>
      <c r="L1" s="1" t="s">
        <v>159</v>
      </c>
      <c r="M1" s="1" t="s">
        <v>160</v>
      </c>
      <c r="N1" s="1" t="s">
        <v>161</v>
      </c>
    </row>
    <row r="2" spans="1:28">
      <c r="A2">
        <v>2000</v>
      </c>
      <c r="B2">
        <v>1709</v>
      </c>
      <c r="C2">
        <v>1609</v>
      </c>
      <c r="D2">
        <v>4104809239.2399998</v>
      </c>
      <c r="E2">
        <v>722750005.53999996</v>
      </c>
      <c r="G2" t="s">
        <v>154</v>
      </c>
      <c r="H2">
        <v>1609</v>
      </c>
      <c r="I2">
        <v>3419163764.7600002</v>
      </c>
      <c r="J2">
        <v>2125024.0924550002</v>
      </c>
      <c r="L2">
        <v>167</v>
      </c>
      <c r="M2">
        <v>372238279.38</v>
      </c>
      <c r="N2">
        <v>2228971.732814</v>
      </c>
    </row>
    <row r="3" spans="1:28">
      <c r="G3" t="s">
        <v>155</v>
      </c>
      <c r="H3">
        <v>167</v>
      </c>
      <c r="I3">
        <v>372238279.38</v>
      </c>
      <c r="J3">
        <v>2228971.732814</v>
      </c>
      <c r="W3" s="1" t="s">
        <v>387</v>
      </c>
      <c r="X3" s="1" t="s">
        <v>388</v>
      </c>
      <c r="Y3" s="1" t="s">
        <v>389</v>
      </c>
      <c r="Z3" s="1" t="s">
        <v>390</v>
      </c>
      <c r="AA3" s="1" t="s">
        <v>391</v>
      </c>
      <c r="AB3" s="1" t="s">
        <v>392</v>
      </c>
    </row>
    <row r="4" spans="1:28">
      <c r="A4" s="1" t="s">
        <v>5</v>
      </c>
      <c r="B4" s="1" t="s">
        <v>6</v>
      </c>
      <c r="C4" s="1" t="s">
        <v>7</v>
      </c>
      <c r="G4" t="s">
        <v>156</v>
      </c>
      <c r="H4">
        <v>82</v>
      </c>
      <c r="I4">
        <v>180641821.40000001</v>
      </c>
      <c r="J4">
        <v>2202949.0414629998</v>
      </c>
      <c r="W4" t="s">
        <v>393</v>
      </c>
      <c r="X4">
        <v>1126</v>
      </c>
      <c r="Y4">
        <v>295565617.38</v>
      </c>
      <c r="Z4">
        <v>195341331.97999999</v>
      </c>
      <c r="AA4">
        <v>99164888.189999998</v>
      </c>
      <c r="AB4">
        <v>1059397.21</v>
      </c>
    </row>
    <row r="5" spans="1:28">
      <c r="A5" t="s">
        <v>8</v>
      </c>
      <c r="B5">
        <v>989</v>
      </c>
      <c r="C5">
        <v>49.45</v>
      </c>
      <c r="G5" t="s">
        <v>157</v>
      </c>
      <c r="H5">
        <v>60</v>
      </c>
      <c r="I5">
        <v>121527066.2</v>
      </c>
      <c r="J5">
        <v>2025451.1033330001</v>
      </c>
      <c r="L5" s="1" t="s">
        <v>162</v>
      </c>
      <c r="M5" s="1" t="s">
        <v>163</v>
      </c>
      <c r="N5" s="1" t="s">
        <v>164</v>
      </c>
      <c r="W5" t="s">
        <v>394</v>
      </c>
      <c r="X5">
        <v>300</v>
      </c>
      <c r="Y5">
        <v>80634302.239999995</v>
      </c>
      <c r="Z5">
        <v>52053054.100000001</v>
      </c>
      <c r="AA5">
        <v>28407799.66</v>
      </c>
      <c r="AB5">
        <v>173448.48</v>
      </c>
    </row>
    <row r="6" spans="1:28">
      <c r="A6" t="s">
        <v>9</v>
      </c>
      <c r="B6">
        <v>978</v>
      </c>
      <c r="C6">
        <v>48.9</v>
      </c>
      <c r="G6" t="s">
        <v>158</v>
      </c>
      <c r="H6">
        <v>82</v>
      </c>
      <c r="I6">
        <v>11238307.5</v>
      </c>
      <c r="J6">
        <v>137052.53048799999</v>
      </c>
      <c r="L6">
        <v>110003852</v>
      </c>
      <c r="M6">
        <v>1284</v>
      </c>
      <c r="N6">
        <v>5504691.6399999997</v>
      </c>
      <c r="P6" s="1" t="s">
        <v>183</v>
      </c>
      <c r="Q6" s="1" t="s">
        <v>184</v>
      </c>
      <c r="R6" s="1" t="s">
        <v>167</v>
      </c>
      <c r="S6" s="1" t="s">
        <v>168</v>
      </c>
      <c r="T6" s="1" t="s">
        <v>185</v>
      </c>
      <c r="W6" t="s">
        <v>395</v>
      </c>
      <c r="X6">
        <v>219</v>
      </c>
      <c r="Y6">
        <v>42196813.700000003</v>
      </c>
      <c r="Z6">
        <v>26639106.77</v>
      </c>
      <c r="AA6">
        <v>15493510.310000001</v>
      </c>
      <c r="AB6">
        <v>64196.62</v>
      </c>
    </row>
    <row r="7" spans="1:28">
      <c r="A7" t="s">
        <v>212</v>
      </c>
      <c r="B7">
        <v>33</v>
      </c>
      <c r="L7">
        <v>110002082</v>
      </c>
      <c r="M7">
        <v>694</v>
      </c>
      <c r="N7">
        <v>4531594.72</v>
      </c>
      <c r="P7" t="s">
        <v>186</v>
      </c>
      <c r="Q7">
        <v>343</v>
      </c>
      <c r="R7">
        <v>146750573.47</v>
      </c>
      <c r="S7">
        <v>427844.23752199998</v>
      </c>
      <c r="T7">
        <v>20.3</v>
      </c>
      <c r="W7" t="s">
        <v>396</v>
      </c>
      <c r="X7">
        <v>92</v>
      </c>
      <c r="Y7">
        <v>28561245.140000001</v>
      </c>
      <c r="Z7">
        <v>18672346.34</v>
      </c>
      <c r="AA7">
        <v>9723246.4499999993</v>
      </c>
      <c r="AB7">
        <v>165652.35</v>
      </c>
    </row>
    <row r="8" spans="1:28">
      <c r="A8" s="1" t="s">
        <v>10</v>
      </c>
      <c r="B8" s="1" t="s">
        <v>11</v>
      </c>
      <c r="D8" s="1" t="s">
        <v>12</v>
      </c>
      <c r="E8" s="1" t="s">
        <v>11</v>
      </c>
      <c r="G8" s="1" t="s">
        <v>129</v>
      </c>
      <c r="H8" s="1" t="s">
        <v>6</v>
      </c>
      <c r="I8" s="1" t="s">
        <v>130</v>
      </c>
      <c r="L8">
        <v>110000084</v>
      </c>
      <c r="M8">
        <v>28</v>
      </c>
      <c r="N8">
        <v>4456873.6399999997</v>
      </c>
      <c r="P8" t="s">
        <v>187</v>
      </c>
      <c r="Q8">
        <v>369</v>
      </c>
      <c r="R8">
        <v>141772545.49000001</v>
      </c>
      <c r="S8">
        <v>384207.44035200001</v>
      </c>
      <c r="T8">
        <v>19.62</v>
      </c>
      <c r="W8" t="s">
        <v>212</v>
      </c>
      <c r="X8">
        <v>44</v>
      </c>
      <c r="Y8">
        <v>15311443.42</v>
      </c>
      <c r="Z8">
        <v>10394314.5</v>
      </c>
      <c r="AA8">
        <v>4863067.4400000004</v>
      </c>
      <c r="AB8">
        <v>54061.48</v>
      </c>
    </row>
    <row r="9" spans="1:28">
      <c r="A9">
        <v>2017</v>
      </c>
      <c r="B9">
        <v>201</v>
      </c>
      <c r="D9" t="s">
        <v>13</v>
      </c>
      <c r="E9">
        <v>18</v>
      </c>
      <c r="G9" t="s">
        <v>131</v>
      </c>
      <c r="H9">
        <v>272</v>
      </c>
      <c r="I9">
        <v>13.6</v>
      </c>
      <c r="L9">
        <v>110002307</v>
      </c>
      <c r="M9">
        <v>769</v>
      </c>
      <c r="N9">
        <v>4451503.3499999996</v>
      </c>
      <c r="P9" t="s">
        <v>188</v>
      </c>
      <c r="Q9">
        <v>328</v>
      </c>
      <c r="R9">
        <v>131090159.98</v>
      </c>
      <c r="S9">
        <v>399665.12189000001</v>
      </c>
      <c r="T9">
        <v>18.14</v>
      </c>
    </row>
    <row r="10" spans="1:28">
      <c r="A10">
        <v>2018</v>
      </c>
      <c r="B10">
        <v>197</v>
      </c>
      <c r="D10" t="s">
        <v>14</v>
      </c>
      <c r="E10">
        <v>10</v>
      </c>
      <c r="G10" t="s">
        <v>132</v>
      </c>
      <c r="H10">
        <v>110</v>
      </c>
      <c r="I10">
        <v>5.5</v>
      </c>
      <c r="L10">
        <v>110002154</v>
      </c>
      <c r="M10">
        <v>718</v>
      </c>
      <c r="N10">
        <v>4429207.76</v>
      </c>
      <c r="P10" t="s">
        <v>189</v>
      </c>
      <c r="Q10">
        <v>296</v>
      </c>
      <c r="R10">
        <v>122276659.44</v>
      </c>
      <c r="S10">
        <v>413096.82243200002</v>
      </c>
      <c r="T10">
        <v>16.920000000000002</v>
      </c>
    </row>
    <row r="11" spans="1:28">
      <c r="A11">
        <v>2019</v>
      </c>
      <c r="B11">
        <v>217</v>
      </c>
      <c r="D11" t="s">
        <v>15</v>
      </c>
      <c r="E11">
        <v>20</v>
      </c>
      <c r="G11" t="s">
        <v>133</v>
      </c>
      <c r="H11">
        <v>104</v>
      </c>
      <c r="I11">
        <v>5.2</v>
      </c>
      <c r="L11">
        <v>110004926</v>
      </c>
      <c r="M11">
        <v>1642</v>
      </c>
      <c r="N11">
        <v>4406606.97</v>
      </c>
      <c r="P11" t="s">
        <v>190</v>
      </c>
      <c r="Q11">
        <v>239</v>
      </c>
      <c r="R11">
        <v>93796185.859999999</v>
      </c>
      <c r="S11">
        <v>392452.66050200001</v>
      </c>
      <c r="T11">
        <v>12.98</v>
      </c>
    </row>
    <row r="12" spans="1:28">
      <c r="A12">
        <v>2020</v>
      </c>
      <c r="B12">
        <v>206</v>
      </c>
      <c r="D12" t="s">
        <v>16</v>
      </c>
      <c r="E12">
        <v>24</v>
      </c>
      <c r="G12" t="s">
        <v>134</v>
      </c>
      <c r="H12">
        <v>99</v>
      </c>
      <c r="I12">
        <v>4.95</v>
      </c>
      <c r="L12">
        <v>110004794</v>
      </c>
      <c r="M12">
        <v>1598</v>
      </c>
      <c r="N12">
        <v>4365692.51</v>
      </c>
      <c r="P12" t="s">
        <v>191</v>
      </c>
      <c r="Q12">
        <v>145</v>
      </c>
      <c r="R12">
        <v>60824654.289999999</v>
      </c>
      <c r="S12">
        <v>419480.37441400002</v>
      </c>
      <c r="T12">
        <v>8.42</v>
      </c>
      <c r="W12" s="1" t="s">
        <v>397</v>
      </c>
      <c r="X12" s="1" t="s">
        <v>398</v>
      </c>
      <c r="Y12" s="1" t="s">
        <v>399</v>
      </c>
    </row>
    <row r="13" spans="1:28">
      <c r="A13">
        <v>2021</v>
      </c>
      <c r="B13">
        <v>230</v>
      </c>
      <c r="D13" t="s">
        <v>17</v>
      </c>
      <c r="E13">
        <v>19</v>
      </c>
      <c r="G13" t="s">
        <v>135</v>
      </c>
      <c r="H13">
        <v>99</v>
      </c>
      <c r="I13">
        <v>4.95</v>
      </c>
      <c r="L13">
        <v>110005994</v>
      </c>
      <c r="M13">
        <v>1998</v>
      </c>
      <c r="N13">
        <v>4329944.3099999996</v>
      </c>
      <c r="P13" t="s">
        <v>192</v>
      </c>
      <c r="Q13">
        <v>68</v>
      </c>
      <c r="R13">
        <v>26239227.010000002</v>
      </c>
      <c r="S13">
        <v>385870.98544100003</v>
      </c>
      <c r="T13">
        <v>3.63</v>
      </c>
      <c r="W13" s="16">
        <v>157652512.05000001</v>
      </c>
      <c r="X13">
        <v>1516756.14</v>
      </c>
      <c r="Y13">
        <v>462269421.88</v>
      </c>
    </row>
    <row r="14" spans="1:28">
      <c r="A14">
        <v>2022</v>
      </c>
      <c r="B14">
        <v>203</v>
      </c>
      <c r="D14" t="s">
        <v>18</v>
      </c>
      <c r="E14">
        <v>19</v>
      </c>
      <c r="G14" t="s">
        <v>136</v>
      </c>
      <c r="H14">
        <v>95</v>
      </c>
      <c r="I14">
        <v>4.75</v>
      </c>
      <c r="L14">
        <v>110001668</v>
      </c>
      <c r="M14">
        <v>556</v>
      </c>
      <c r="N14">
        <v>4281786.38</v>
      </c>
    </row>
    <row r="15" spans="1:28">
      <c r="A15">
        <v>2023</v>
      </c>
      <c r="B15">
        <v>210</v>
      </c>
      <c r="D15" t="s">
        <v>19</v>
      </c>
      <c r="E15">
        <v>16</v>
      </c>
      <c r="G15" t="s">
        <v>137</v>
      </c>
      <c r="H15">
        <v>94</v>
      </c>
      <c r="I15">
        <v>4.7</v>
      </c>
      <c r="L15">
        <v>110002703</v>
      </c>
      <c r="M15">
        <v>901</v>
      </c>
      <c r="N15">
        <v>4274942.95</v>
      </c>
    </row>
    <row r="16" spans="1:28">
      <c r="A16">
        <v>2024</v>
      </c>
      <c r="B16">
        <v>197</v>
      </c>
      <c r="D16" t="s">
        <v>20</v>
      </c>
      <c r="E16">
        <v>19</v>
      </c>
      <c r="G16" t="s">
        <v>138</v>
      </c>
      <c r="H16">
        <v>93</v>
      </c>
      <c r="I16">
        <v>4.6500000000000004</v>
      </c>
      <c r="L16">
        <v>110001320</v>
      </c>
      <c r="M16">
        <v>440</v>
      </c>
      <c r="N16">
        <v>4273234.0999999996</v>
      </c>
      <c r="Q16" s="1" t="s">
        <v>12</v>
      </c>
      <c r="R16" s="1" t="s">
        <v>184</v>
      </c>
      <c r="S16" s="1" t="s">
        <v>167</v>
      </c>
      <c r="W16" s="1" t="s">
        <v>400</v>
      </c>
      <c r="X16" s="1" t="s">
        <v>401</v>
      </c>
    </row>
    <row r="17" spans="1:27">
      <c r="A17">
        <v>2025</v>
      </c>
      <c r="B17">
        <v>194</v>
      </c>
      <c r="D17" t="s">
        <v>21</v>
      </c>
      <c r="E17">
        <v>16</v>
      </c>
      <c r="G17" t="s">
        <v>139</v>
      </c>
      <c r="H17">
        <v>93</v>
      </c>
      <c r="I17">
        <v>4.6500000000000004</v>
      </c>
      <c r="L17">
        <v>110001908</v>
      </c>
      <c r="M17">
        <v>636</v>
      </c>
      <c r="N17">
        <v>4197415.5199999996</v>
      </c>
      <c r="Q17" t="s">
        <v>30</v>
      </c>
      <c r="R17">
        <v>1</v>
      </c>
      <c r="S17">
        <v>701852.57</v>
      </c>
      <c r="W17" s="16">
        <v>409603234.00999999</v>
      </c>
      <c r="X17">
        <v>855351449.89999998</v>
      </c>
    </row>
    <row r="18" spans="1:27">
      <c r="A18">
        <v>2026</v>
      </c>
      <c r="B18">
        <v>145</v>
      </c>
      <c r="D18" t="s">
        <v>22</v>
      </c>
      <c r="E18">
        <v>13</v>
      </c>
      <c r="G18" t="s">
        <v>140</v>
      </c>
      <c r="H18">
        <v>93</v>
      </c>
      <c r="I18">
        <v>4.6500000000000004</v>
      </c>
      <c r="L18">
        <v>110005451</v>
      </c>
      <c r="M18">
        <v>1817</v>
      </c>
      <c r="N18">
        <v>4166952.26</v>
      </c>
      <c r="Q18" t="s">
        <v>31</v>
      </c>
      <c r="R18">
        <v>1</v>
      </c>
      <c r="S18">
        <v>750000</v>
      </c>
    </row>
    <row r="19" spans="1:27">
      <c r="D19" t="s">
        <v>23</v>
      </c>
      <c r="E19">
        <v>13</v>
      </c>
      <c r="G19" t="s">
        <v>141</v>
      </c>
      <c r="H19">
        <v>92</v>
      </c>
      <c r="I19">
        <v>4.5999999999999996</v>
      </c>
      <c r="L19">
        <v>110001575</v>
      </c>
      <c r="M19">
        <v>525</v>
      </c>
      <c r="N19">
        <v>4088272.29</v>
      </c>
      <c r="Q19" t="s">
        <v>32</v>
      </c>
      <c r="R19">
        <v>1</v>
      </c>
      <c r="S19">
        <v>750000</v>
      </c>
    </row>
    <row r="20" spans="1:27">
      <c r="D20" t="s">
        <v>24</v>
      </c>
      <c r="E20">
        <v>14</v>
      </c>
      <c r="G20" t="s">
        <v>142</v>
      </c>
      <c r="H20">
        <v>92</v>
      </c>
      <c r="I20">
        <v>4.5999999999999996</v>
      </c>
      <c r="L20">
        <v>110003468</v>
      </c>
      <c r="M20">
        <v>1156</v>
      </c>
      <c r="N20">
        <v>4013144.25</v>
      </c>
      <c r="Q20" t="s">
        <v>33</v>
      </c>
      <c r="R20">
        <v>2</v>
      </c>
      <c r="S20">
        <v>1015837.81</v>
      </c>
      <c r="W20" s="1" t="s">
        <v>402</v>
      </c>
    </row>
    <row r="21" spans="1:27">
      <c r="D21" t="s">
        <v>25</v>
      </c>
      <c r="E21">
        <v>19</v>
      </c>
      <c r="G21" t="s">
        <v>143</v>
      </c>
      <c r="H21">
        <v>91</v>
      </c>
      <c r="I21">
        <v>4.55</v>
      </c>
      <c r="L21">
        <v>110000246</v>
      </c>
      <c r="M21">
        <v>82</v>
      </c>
      <c r="N21">
        <v>3987937.99</v>
      </c>
      <c r="Q21" t="s">
        <v>34</v>
      </c>
      <c r="R21">
        <v>2</v>
      </c>
      <c r="S21">
        <v>1157391.6200000001</v>
      </c>
      <c r="W21" s="17">
        <v>58432598</v>
      </c>
    </row>
    <row r="22" spans="1:27">
      <c r="A22" t="s">
        <v>458</v>
      </c>
      <c r="D22" t="s">
        <v>26</v>
      </c>
      <c r="E22">
        <v>20</v>
      </c>
      <c r="G22" t="s">
        <v>144</v>
      </c>
      <c r="H22">
        <v>87</v>
      </c>
      <c r="I22">
        <v>4.3499999999999996</v>
      </c>
      <c r="L22">
        <v>110001920</v>
      </c>
      <c r="M22">
        <v>640</v>
      </c>
      <c r="N22">
        <v>3943883.11</v>
      </c>
      <c r="Q22" t="s">
        <v>35</v>
      </c>
      <c r="R22">
        <v>1</v>
      </c>
      <c r="S22">
        <v>388936.35</v>
      </c>
    </row>
    <row r="23" spans="1:27">
      <c r="A23" t="s">
        <v>459</v>
      </c>
      <c r="D23" t="s">
        <v>27</v>
      </c>
      <c r="E23">
        <v>18</v>
      </c>
      <c r="G23" t="s">
        <v>145</v>
      </c>
      <c r="H23">
        <v>87</v>
      </c>
      <c r="I23">
        <v>4.3499999999999996</v>
      </c>
      <c r="L23">
        <v>110001053</v>
      </c>
      <c r="M23">
        <v>351</v>
      </c>
      <c r="N23">
        <v>3943246.14</v>
      </c>
      <c r="Q23" t="s">
        <v>36</v>
      </c>
      <c r="R23">
        <v>3</v>
      </c>
      <c r="S23">
        <v>1500100</v>
      </c>
    </row>
    <row r="24" spans="1:27">
      <c r="D24" t="s">
        <v>28</v>
      </c>
      <c r="E24">
        <v>17</v>
      </c>
      <c r="G24" t="s">
        <v>146</v>
      </c>
      <c r="H24">
        <v>86</v>
      </c>
      <c r="I24">
        <v>4.3</v>
      </c>
      <c r="L24">
        <v>110001260</v>
      </c>
      <c r="M24">
        <v>420</v>
      </c>
      <c r="N24">
        <v>3934165.01</v>
      </c>
      <c r="Q24" t="s">
        <v>38</v>
      </c>
      <c r="R24">
        <v>2</v>
      </c>
      <c r="S24">
        <v>1500000</v>
      </c>
      <c r="W24" s="1" t="s">
        <v>403</v>
      </c>
    </row>
    <row r="25" spans="1:27">
      <c r="D25" t="s">
        <v>29</v>
      </c>
      <c r="E25">
        <v>22</v>
      </c>
      <c r="G25" t="s">
        <v>147</v>
      </c>
      <c r="H25">
        <v>80</v>
      </c>
      <c r="I25">
        <v>4</v>
      </c>
      <c r="L25">
        <v>110004197</v>
      </c>
      <c r="M25">
        <v>1399</v>
      </c>
      <c r="N25">
        <v>3928020.26</v>
      </c>
      <c r="Q25" t="s">
        <v>41</v>
      </c>
      <c r="R25">
        <v>5</v>
      </c>
      <c r="S25">
        <v>1921400.42</v>
      </c>
      <c r="W25">
        <v>69239.899999999994</v>
      </c>
    </row>
    <row r="26" spans="1:27">
      <c r="D26" t="s">
        <v>30</v>
      </c>
      <c r="E26">
        <v>15</v>
      </c>
      <c r="G26" t="s">
        <v>148</v>
      </c>
      <c r="H26">
        <v>80</v>
      </c>
      <c r="I26">
        <v>4</v>
      </c>
      <c r="M26" t="s">
        <v>469</v>
      </c>
      <c r="N26">
        <f>SUM(N6:N25)</f>
        <v>85509115.160000011</v>
      </c>
      <c r="Q26" t="s">
        <v>42</v>
      </c>
      <c r="R26">
        <v>1</v>
      </c>
      <c r="S26">
        <v>168630.87</v>
      </c>
    </row>
    <row r="27" spans="1:27">
      <c r="D27" t="s">
        <v>31</v>
      </c>
      <c r="E27">
        <v>14</v>
      </c>
      <c r="G27" t="s">
        <v>149</v>
      </c>
      <c r="H27">
        <v>79</v>
      </c>
      <c r="I27">
        <v>3.95</v>
      </c>
      <c r="M27" t="s">
        <v>470</v>
      </c>
      <c r="N27" s="12">
        <f>AVERAGE(N6:N25)</f>
        <v>4275455.7580000004</v>
      </c>
      <c r="Q27" t="s">
        <v>43</v>
      </c>
      <c r="R27">
        <v>3</v>
      </c>
      <c r="S27">
        <v>910055.69</v>
      </c>
    </row>
    <row r="28" spans="1:27">
      <c r="D28" t="s">
        <v>32</v>
      </c>
      <c r="E28">
        <v>15</v>
      </c>
      <c r="G28" t="s">
        <v>150</v>
      </c>
      <c r="H28">
        <v>74</v>
      </c>
      <c r="I28">
        <v>3.7</v>
      </c>
      <c r="M28" t="s">
        <v>471</v>
      </c>
      <c r="N28" s="12">
        <f>MAX(N6:N25)</f>
        <v>5504691.6399999997</v>
      </c>
      <c r="Q28" t="s">
        <v>44</v>
      </c>
      <c r="R28">
        <v>5</v>
      </c>
      <c r="S28">
        <v>1833948.39</v>
      </c>
      <c r="W28" s="1" t="s">
        <v>454</v>
      </c>
      <c r="X28" s="1" t="s">
        <v>404</v>
      </c>
      <c r="Y28" s="1" t="s">
        <v>152</v>
      </c>
      <c r="Z28" s="1" t="s">
        <v>3</v>
      </c>
      <c r="AA28" s="1" t="s">
        <v>167</v>
      </c>
    </row>
    <row r="29" spans="1:27">
      <c r="D29" t="s">
        <v>33</v>
      </c>
      <c r="E29">
        <v>13</v>
      </c>
      <c r="Q29" s="1" t="s">
        <v>45</v>
      </c>
      <c r="R29">
        <v>4</v>
      </c>
      <c r="S29">
        <v>1431959.95</v>
      </c>
      <c r="W29">
        <v>1284</v>
      </c>
      <c r="X29" t="s">
        <v>405</v>
      </c>
      <c r="Y29">
        <v>1</v>
      </c>
      <c r="Z29">
        <v>5504691.6399999997</v>
      </c>
      <c r="AA29">
        <v>2716350.07</v>
      </c>
    </row>
    <row r="30" spans="1:27">
      <c r="D30" t="s">
        <v>34</v>
      </c>
      <c r="E30">
        <v>14</v>
      </c>
      <c r="G30" s="1" t="s">
        <v>165</v>
      </c>
      <c r="H30" s="1" t="s">
        <v>166</v>
      </c>
      <c r="I30" s="1" t="s">
        <v>167</v>
      </c>
      <c r="J30" s="1" t="s">
        <v>168</v>
      </c>
      <c r="M30" s="1" t="s">
        <v>179</v>
      </c>
      <c r="N30" s="1" t="s">
        <v>166</v>
      </c>
      <c r="O30" s="1" t="s">
        <v>167</v>
      </c>
      <c r="Q30" t="s">
        <v>46</v>
      </c>
      <c r="R30">
        <v>4</v>
      </c>
      <c r="S30">
        <v>1447734.82</v>
      </c>
      <c r="W30">
        <v>1544</v>
      </c>
      <c r="X30" t="s">
        <v>406</v>
      </c>
      <c r="Y30">
        <v>1</v>
      </c>
      <c r="Z30">
        <v>5392647.2699999996</v>
      </c>
      <c r="AA30">
        <v>1364175.51</v>
      </c>
    </row>
    <row r="31" spans="1:27">
      <c r="D31" t="s">
        <v>35</v>
      </c>
      <c r="E31">
        <v>16</v>
      </c>
      <c r="G31" t="s">
        <v>169</v>
      </c>
      <c r="H31">
        <v>323</v>
      </c>
      <c r="I31">
        <v>143556062.44</v>
      </c>
      <c r="J31">
        <v>444446.01374600001</v>
      </c>
      <c r="M31" t="s">
        <v>180</v>
      </c>
      <c r="N31">
        <v>1788</v>
      </c>
      <c r="O31">
        <v>722750005.53999996</v>
      </c>
      <c r="Q31" t="s">
        <v>47</v>
      </c>
      <c r="R31">
        <v>3</v>
      </c>
      <c r="S31">
        <v>1484930.99</v>
      </c>
      <c r="W31">
        <v>1847</v>
      </c>
      <c r="X31" t="s">
        <v>407</v>
      </c>
      <c r="Y31">
        <v>1</v>
      </c>
      <c r="Z31">
        <v>5144660.1399999997</v>
      </c>
      <c r="AA31">
        <v>653519.35</v>
      </c>
    </row>
    <row r="32" spans="1:27">
      <c r="D32" t="s">
        <v>36</v>
      </c>
      <c r="E32">
        <v>14</v>
      </c>
      <c r="G32" t="s">
        <v>170</v>
      </c>
      <c r="H32">
        <v>273</v>
      </c>
      <c r="I32">
        <v>108212581.11</v>
      </c>
      <c r="J32">
        <v>396383.08098899998</v>
      </c>
      <c r="M32" t="s">
        <v>181</v>
      </c>
      <c r="N32">
        <v>78</v>
      </c>
      <c r="O32">
        <v>31380683.010000002</v>
      </c>
      <c r="Q32" t="s">
        <v>48</v>
      </c>
      <c r="R32">
        <v>1</v>
      </c>
      <c r="S32">
        <v>312999.61</v>
      </c>
      <c r="W32">
        <v>459</v>
      </c>
      <c r="X32" t="s">
        <v>408</v>
      </c>
      <c r="Y32">
        <v>1</v>
      </c>
      <c r="Z32">
        <v>5105223.8499999996</v>
      </c>
      <c r="AA32">
        <v>1303478.19</v>
      </c>
    </row>
    <row r="33" spans="4:27">
      <c r="D33" t="s">
        <v>37</v>
      </c>
      <c r="E33">
        <v>19</v>
      </c>
      <c r="G33" t="s">
        <v>171</v>
      </c>
      <c r="H33">
        <v>195</v>
      </c>
      <c r="I33">
        <v>86737795.359999999</v>
      </c>
      <c r="J33">
        <v>444809.20697399997</v>
      </c>
      <c r="M33" t="s">
        <v>182</v>
      </c>
      <c r="N33">
        <v>70</v>
      </c>
      <c r="O33">
        <v>27224941.879999999</v>
      </c>
      <c r="Q33" t="s">
        <v>49</v>
      </c>
      <c r="R33">
        <v>2</v>
      </c>
      <c r="S33">
        <v>906171.44</v>
      </c>
      <c r="W33">
        <v>1051</v>
      </c>
      <c r="X33" t="s">
        <v>409</v>
      </c>
      <c r="Y33">
        <v>1</v>
      </c>
      <c r="Z33">
        <v>5078425.13</v>
      </c>
      <c r="AA33">
        <v>639102.35</v>
      </c>
    </row>
    <row r="34" spans="4:27">
      <c r="D34" t="s">
        <v>38</v>
      </c>
      <c r="E34">
        <v>22</v>
      </c>
      <c r="G34" t="s">
        <v>172</v>
      </c>
      <c r="H34">
        <v>220</v>
      </c>
      <c r="I34">
        <v>82102503.609999999</v>
      </c>
      <c r="J34">
        <v>373193.19822700002</v>
      </c>
      <c r="M34" t="s">
        <v>156</v>
      </c>
      <c r="N34">
        <v>64</v>
      </c>
      <c r="O34">
        <v>23303708.140000001</v>
      </c>
      <c r="Q34" t="s">
        <v>50</v>
      </c>
      <c r="R34">
        <v>8</v>
      </c>
      <c r="S34">
        <v>2253297.29</v>
      </c>
      <c r="W34">
        <v>1643</v>
      </c>
      <c r="X34" t="s">
        <v>410</v>
      </c>
      <c r="Y34">
        <v>1</v>
      </c>
      <c r="Z34">
        <v>5076291.46</v>
      </c>
      <c r="AA34">
        <v>585964.39</v>
      </c>
    </row>
    <row r="35" spans="4:27">
      <c r="D35" t="s">
        <v>39</v>
      </c>
      <c r="E35">
        <v>24</v>
      </c>
      <c r="G35" t="s">
        <v>173</v>
      </c>
      <c r="H35">
        <v>176</v>
      </c>
      <c r="I35">
        <v>70284784.650000006</v>
      </c>
      <c r="J35">
        <v>399345.36732999998</v>
      </c>
      <c r="Q35" t="s">
        <v>51</v>
      </c>
      <c r="R35">
        <v>5</v>
      </c>
      <c r="S35">
        <v>1567856.76</v>
      </c>
      <c r="W35">
        <v>1757</v>
      </c>
      <c r="X35" t="s">
        <v>411</v>
      </c>
      <c r="Y35">
        <v>1</v>
      </c>
      <c r="Z35">
        <v>5037300.1100000003</v>
      </c>
      <c r="AA35">
        <v>1284612.46</v>
      </c>
    </row>
    <row r="36" spans="4:27">
      <c r="D36" t="s">
        <v>40</v>
      </c>
      <c r="E36">
        <v>14</v>
      </c>
      <c r="G36" t="s">
        <v>174</v>
      </c>
      <c r="H36">
        <v>151</v>
      </c>
      <c r="I36">
        <v>59217441.399999999</v>
      </c>
      <c r="J36">
        <v>392168.48609299998</v>
      </c>
      <c r="Q36" t="s">
        <v>52</v>
      </c>
      <c r="R36">
        <v>8</v>
      </c>
      <c r="S36">
        <v>3854116.95</v>
      </c>
      <c r="W36">
        <v>133</v>
      </c>
      <c r="X36" t="s">
        <v>412</v>
      </c>
      <c r="Y36">
        <v>1</v>
      </c>
      <c r="Z36">
        <v>4967873.22</v>
      </c>
      <c r="AA36">
        <v>731217.03</v>
      </c>
    </row>
    <row r="37" spans="4:27">
      <c r="D37" t="s">
        <v>41</v>
      </c>
      <c r="E37">
        <v>20</v>
      </c>
      <c r="G37" t="s">
        <v>175</v>
      </c>
      <c r="H37">
        <v>165</v>
      </c>
      <c r="I37">
        <v>58432598</v>
      </c>
      <c r="J37">
        <v>354136.95757600002</v>
      </c>
      <c r="Q37" t="s">
        <v>53</v>
      </c>
      <c r="R37">
        <v>6</v>
      </c>
      <c r="S37">
        <v>2378642.0299999998</v>
      </c>
      <c r="W37">
        <v>488</v>
      </c>
      <c r="X37" t="s">
        <v>413</v>
      </c>
      <c r="Y37">
        <v>1</v>
      </c>
      <c r="Z37">
        <v>4901572.9800000004</v>
      </c>
      <c r="AA37">
        <v>890019.22</v>
      </c>
    </row>
    <row r="38" spans="4:27">
      <c r="D38" t="s">
        <v>42</v>
      </c>
      <c r="E38">
        <v>18</v>
      </c>
      <c r="G38" t="s">
        <v>176</v>
      </c>
      <c r="H38">
        <v>137</v>
      </c>
      <c r="I38">
        <v>52056283.299999997</v>
      </c>
      <c r="J38">
        <v>379972.870803</v>
      </c>
      <c r="Q38" t="s">
        <v>54</v>
      </c>
      <c r="R38">
        <v>5</v>
      </c>
      <c r="S38">
        <v>1639760.89</v>
      </c>
      <c r="W38">
        <v>1376</v>
      </c>
      <c r="X38" t="s">
        <v>414</v>
      </c>
      <c r="Y38">
        <v>1</v>
      </c>
      <c r="Z38">
        <v>4889333.16</v>
      </c>
      <c r="AA38">
        <v>791198.69</v>
      </c>
    </row>
    <row r="39" spans="4:27">
      <c r="D39" t="s">
        <v>43</v>
      </c>
      <c r="E39">
        <v>18</v>
      </c>
      <c r="G39" t="s">
        <v>177</v>
      </c>
      <c r="H39">
        <v>109</v>
      </c>
      <c r="I39">
        <v>45289384.090000004</v>
      </c>
      <c r="J39">
        <v>415498.936606</v>
      </c>
      <c r="Q39" t="s">
        <v>55</v>
      </c>
      <c r="R39">
        <v>4</v>
      </c>
      <c r="S39">
        <v>1428117.06</v>
      </c>
      <c r="W39">
        <v>515</v>
      </c>
      <c r="X39" t="s">
        <v>415</v>
      </c>
      <c r="Y39">
        <v>1</v>
      </c>
      <c r="Z39">
        <v>4878169.4400000004</v>
      </c>
      <c r="AA39">
        <v>763637.85</v>
      </c>
    </row>
    <row r="40" spans="4:27">
      <c r="D40" t="s">
        <v>44</v>
      </c>
      <c r="E40">
        <v>15</v>
      </c>
      <c r="G40" t="s">
        <v>178</v>
      </c>
      <c r="H40">
        <v>39</v>
      </c>
      <c r="I40">
        <v>16860571.579999998</v>
      </c>
      <c r="J40">
        <v>432322.34820499999</v>
      </c>
      <c r="Q40" t="s">
        <v>56</v>
      </c>
      <c r="R40">
        <v>7</v>
      </c>
      <c r="S40">
        <v>3217961.29</v>
      </c>
      <c r="W40">
        <v>1556</v>
      </c>
      <c r="X40" t="s">
        <v>416</v>
      </c>
      <c r="Y40">
        <v>1</v>
      </c>
      <c r="Z40">
        <v>4845151.47</v>
      </c>
      <c r="AA40">
        <v>1016070.82</v>
      </c>
    </row>
    <row r="41" spans="4:27">
      <c r="D41" t="s">
        <v>45</v>
      </c>
      <c r="E41">
        <v>16</v>
      </c>
      <c r="Q41" t="s">
        <v>57</v>
      </c>
      <c r="R41">
        <v>5</v>
      </c>
      <c r="S41">
        <v>1922317.03</v>
      </c>
      <c r="W41">
        <v>230</v>
      </c>
      <c r="X41" t="s">
        <v>417</v>
      </c>
      <c r="Y41">
        <v>1</v>
      </c>
      <c r="Z41">
        <v>4840095.72</v>
      </c>
      <c r="AA41">
        <v>868224.42</v>
      </c>
    </row>
    <row r="42" spans="4:27">
      <c r="D42" t="s">
        <v>46</v>
      </c>
      <c r="E42">
        <v>19</v>
      </c>
      <c r="Q42" t="s">
        <v>58</v>
      </c>
      <c r="R42">
        <v>6</v>
      </c>
      <c r="S42">
        <v>3951985.81</v>
      </c>
      <c r="W42">
        <v>1617</v>
      </c>
      <c r="X42" t="s">
        <v>418</v>
      </c>
      <c r="Y42">
        <v>1</v>
      </c>
      <c r="Z42">
        <v>4816406.87</v>
      </c>
      <c r="AA42">
        <v>481124.23</v>
      </c>
    </row>
    <row r="43" spans="4:27">
      <c r="D43" t="s">
        <v>47</v>
      </c>
      <c r="E43">
        <v>15</v>
      </c>
      <c r="Q43" t="s">
        <v>59</v>
      </c>
      <c r="R43">
        <v>10</v>
      </c>
      <c r="S43">
        <v>3390633.28</v>
      </c>
      <c r="W43">
        <v>1226</v>
      </c>
      <c r="X43" t="s">
        <v>419</v>
      </c>
      <c r="Y43">
        <v>1</v>
      </c>
      <c r="Z43">
        <v>4803815.24</v>
      </c>
      <c r="AA43">
        <v>451215.78</v>
      </c>
    </row>
    <row r="44" spans="4:27">
      <c r="D44" t="s">
        <v>48</v>
      </c>
      <c r="E44">
        <v>17</v>
      </c>
      <c r="Q44" t="s">
        <v>60</v>
      </c>
      <c r="R44">
        <v>10</v>
      </c>
      <c r="S44">
        <v>3765102.38</v>
      </c>
      <c r="W44">
        <v>345</v>
      </c>
      <c r="X44" t="s">
        <v>420</v>
      </c>
      <c r="Y44">
        <v>1</v>
      </c>
      <c r="Z44">
        <v>4801574.66</v>
      </c>
      <c r="AA44">
        <v>898913.61</v>
      </c>
    </row>
    <row r="45" spans="4:27">
      <c r="D45" t="s">
        <v>49</v>
      </c>
      <c r="E45">
        <v>9</v>
      </c>
      <c r="H45" s="1" t="s">
        <v>193</v>
      </c>
      <c r="I45" s="1" t="s">
        <v>194</v>
      </c>
      <c r="J45" s="1" t="s">
        <v>195</v>
      </c>
      <c r="K45" s="1" t="s">
        <v>196</v>
      </c>
      <c r="L45" s="1" t="s">
        <v>197</v>
      </c>
      <c r="Q45" t="s">
        <v>61</v>
      </c>
      <c r="R45">
        <v>11</v>
      </c>
      <c r="S45">
        <v>4375988.8</v>
      </c>
      <c r="W45">
        <v>1806</v>
      </c>
      <c r="X45" t="s">
        <v>421</v>
      </c>
      <c r="Y45">
        <v>1</v>
      </c>
      <c r="Z45">
        <v>4798047.76</v>
      </c>
      <c r="AA45">
        <v>2702699.31</v>
      </c>
    </row>
    <row r="46" spans="4:27">
      <c r="D46" t="s">
        <v>50</v>
      </c>
      <c r="E46">
        <v>14</v>
      </c>
      <c r="H46" t="s">
        <v>154</v>
      </c>
      <c r="I46">
        <v>862</v>
      </c>
      <c r="J46">
        <v>4613159275.1999998</v>
      </c>
      <c r="K46">
        <v>3916224066.1500001</v>
      </c>
      <c r="L46">
        <v>16.073399070000001</v>
      </c>
      <c r="Q46" t="s">
        <v>62</v>
      </c>
      <c r="R46">
        <v>7</v>
      </c>
      <c r="S46">
        <v>2064032.33</v>
      </c>
      <c r="W46">
        <v>1548</v>
      </c>
      <c r="X46" t="s">
        <v>422</v>
      </c>
      <c r="Y46">
        <v>1</v>
      </c>
      <c r="Z46">
        <v>4756123.26</v>
      </c>
      <c r="AA46">
        <v>2156844.46</v>
      </c>
    </row>
    <row r="47" spans="4:27">
      <c r="D47" t="s">
        <v>51</v>
      </c>
      <c r="E47">
        <v>17</v>
      </c>
      <c r="H47" t="s">
        <v>198</v>
      </c>
      <c r="I47">
        <v>177</v>
      </c>
      <c r="J47">
        <v>955028103.20000005</v>
      </c>
      <c r="K47">
        <v>1710445047.5999999</v>
      </c>
      <c r="L47">
        <v>15.981355929999999</v>
      </c>
      <c r="Q47" t="s">
        <v>63</v>
      </c>
      <c r="R47">
        <v>8</v>
      </c>
      <c r="S47">
        <v>3174704.11</v>
      </c>
      <c r="W47">
        <v>5</v>
      </c>
      <c r="X47" t="s">
        <v>423</v>
      </c>
      <c r="Y47">
        <v>1</v>
      </c>
      <c r="Z47">
        <v>4751905.09</v>
      </c>
      <c r="AA47">
        <v>259853.09</v>
      </c>
    </row>
    <row r="48" spans="4:27">
      <c r="D48" t="s">
        <v>52</v>
      </c>
      <c r="E48">
        <v>22</v>
      </c>
      <c r="H48" t="s">
        <v>199</v>
      </c>
      <c r="I48">
        <v>164</v>
      </c>
      <c r="J48">
        <v>822163926.47000003</v>
      </c>
      <c r="K48">
        <v>714959301.25</v>
      </c>
      <c r="L48">
        <v>16.771280489999999</v>
      </c>
      <c r="Q48" t="s">
        <v>64</v>
      </c>
      <c r="R48">
        <v>7</v>
      </c>
      <c r="S48">
        <v>2739726.97</v>
      </c>
      <c r="W48">
        <v>1210</v>
      </c>
      <c r="X48" t="s">
        <v>424</v>
      </c>
      <c r="Y48">
        <v>1</v>
      </c>
      <c r="Z48">
        <v>4725439.78</v>
      </c>
      <c r="AA48">
        <v>750980.3</v>
      </c>
    </row>
    <row r="49" spans="4:27">
      <c r="D49" t="s">
        <v>53</v>
      </c>
      <c r="E49">
        <v>19</v>
      </c>
      <c r="H49" t="s">
        <v>200</v>
      </c>
      <c r="I49">
        <v>446</v>
      </c>
      <c r="J49">
        <v>2751537638.5500002</v>
      </c>
      <c r="K49">
        <v>0</v>
      </c>
      <c r="L49">
        <v>16.152421520000001</v>
      </c>
      <c r="Q49" t="s">
        <v>65</v>
      </c>
      <c r="R49">
        <v>4</v>
      </c>
      <c r="S49">
        <v>2427287.44</v>
      </c>
      <c r="W49">
        <v>1319</v>
      </c>
      <c r="X49" t="s">
        <v>421</v>
      </c>
      <c r="Y49">
        <v>1</v>
      </c>
      <c r="Z49">
        <v>4691158.95</v>
      </c>
      <c r="AA49">
        <v>384798.28</v>
      </c>
    </row>
    <row r="50" spans="4:27">
      <c r="D50" t="s">
        <v>54</v>
      </c>
      <c r="E50">
        <v>15</v>
      </c>
      <c r="H50" t="s">
        <v>156</v>
      </c>
      <c r="I50">
        <v>155</v>
      </c>
      <c r="J50">
        <v>858013554.65999997</v>
      </c>
      <c r="K50">
        <v>0</v>
      </c>
      <c r="L50">
        <v>16.10225806</v>
      </c>
      <c r="Q50" t="s">
        <v>66</v>
      </c>
      <c r="R50">
        <v>7</v>
      </c>
      <c r="S50">
        <v>3870814.24</v>
      </c>
      <c r="W50">
        <v>1761</v>
      </c>
      <c r="X50" t="s">
        <v>425</v>
      </c>
      <c r="Y50">
        <v>1</v>
      </c>
      <c r="Z50">
        <v>4653435.1500000004</v>
      </c>
      <c r="AA50">
        <v>178909.85</v>
      </c>
    </row>
    <row r="51" spans="4:27">
      <c r="D51" t="s">
        <v>55</v>
      </c>
      <c r="E51">
        <v>14</v>
      </c>
      <c r="H51" t="s">
        <v>201</v>
      </c>
      <c r="I51">
        <v>136</v>
      </c>
      <c r="J51">
        <v>759502250.53999996</v>
      </c>
      <c r="K51">
        <v>0</v>
      </c>
      <c r="L51">
        <v>16.198088240000001</v>
      </c>
      <c r="Q51" t="s">
        <v>67</v>
      </c>
      <c r="R51">
        <v>5</v>
      </c>
      <c r="S51">
        <v>3734790.88</v>
      </c>
      <c r="W51">
        <v>487</v>
      </c>
      <c r="X51" t="s">
        <v>426</v>
      </c>
      <c r="Y51">
        <v>1</v>
      </c>
      <c r="Z51">
        <v>4611624.2</v>
      </c>
      <c r="AA51">
        <v>624797.43000000005</v>
      </c>
    </row>
    <row r="52" spans="4:27">
      <c r="D52" t="s">
        <v>56</v>
      </c>
      <c r="E52">
        <v>24</v>
      </c>
      <c r="H52" t="s">
        <v>202</v>
      </c>
      <c r="I52">
        <v>60</v>
      </c>
      <c r="J52">
        <v>246900118.08000001</v>
      </c>
      <c r="K52">
        <v>0</v>
      </c>
      <c r="L52">
        <v>16.846666670000001</v>
      </c>
      <c r="Q52" t="s">
        <v>68</v>
      </c>
      <c r="R52">
        <v>7</v>
      </c>
      <c r="S52">
        <v>4319531.76</v>
      </c>
      <c r="W52">
        <v>1946</v>
      </c>
      <c r="X52" t="s">
        <v>427</v>
      </c>
      <c r="Y52">
        <v>1</v>
      </c>
      <c r="Z52">
        <v>4599276.28</v>
      </c>
      <c r="AA52">
        <v>783427.32</v>
      </c>
    </row>
    <row r="53" spans="4:27">
      <c r="D53" t="s">
        <v>57</v>
      </c>
      <c r="E53">
        <v>24</v>
      </c>
      <c r="Q53" t="s">
        <v>69</v>
      </c>
      <c r="R53">
        <v>8</v>
      </c>
      <c r="S53">
        <v>3560048.45</v>
      </c>
      <c r="W53">
        <v>1410</v>
      </c>
      <c r="X53" t="s">
        <v>428</v>
      </c>
      <c r="Y53">
        <v>1</v>
      </c>
      <c r="Z53">
        <v>4551506.78</v>
      </c>
      <c r="AA53">
        <v>322597.5</v>
      </c>
    </row>
    <row r="54" spans="4:27">
      <c r="D54" t="s">
        <v>58</v>
      </c>
      <c r="E54">
        <v>17</v>
      </c>
      <c r="Q54" t="s">
        <v>70</v>
      </c>
      <c r="R54">
        <v>11</v>
      </c>
      <c r="S54">
        <v>4127795.49</v>
      </c>
      <c r="W54">
        <v>1741</v>
      </c>
      <c r="X54" t="s">
        <v>429</v>
      </c>
      <c r="Y54">
        <v>1</v>
      </c>
      <c r="Z54">
        <v>4542904.63</v>
      </c>
      <c r="AA54">
        <v>257776.47</v>
      </c>
    </row>
    <row r="55" spans="4:27">
      <c r="D55" t="s">
        <v>59</v>
      </c>
      <c r="E55">
        <v>16</v>
      </c>
      <c r="Q55" t="s">
        <v>71</v>
      </c>
      <c r="R55">
        <v>10</v>
      </c>
      <c r="S55">
        <v>3733637.74</v>
      </c>
      <c r="W55">
        <v>282</v>
      </c>
      <c r="X55" t="s">
        <v>430</v>
      </c>
      <c r="Y55">
        <v>1</v>
      </c>
      <c r="Z55">
        <v>4541568.6900000004</v>
      </c>
      <c r="AA55">
        <v>414671.53</v>
      </c>
    </row>
    <row r="56" spans="4:27">
      <c r="D56" t="s">
        <v>60</v>
      </c>
      <c r="E56">
        <v>15</v>
      </c>
      <c r="H56" s="1" t="s">
        <v>203</v>
      </c>
      <c r="I56" s="1" t="s">
        <v>204</v>
      </c>
      <c r="J56" s="1" t="s">
        <v>205</v>
      </c>
      <c r="K56" s="1" t="s">
        <v>196</v>
      </c>
      <c r="L56" s="1" t="s">
        <v>206</v>
      </c>
      <c r="M56" s="1" t="s">
        <v>207</v>
      </c>
      <c r="N56" s="1" t="s">
        <v>208</v>
      </c>
      <c r="O56" s="1" t="s">
        <v>209</v>
      </c>
      <c r="Q56" t="s">
        <v>72</v>
      </c>
      <c r="R56">
        <v>6</v>
      </c>
      <c r="S56">
        <v>2197740.4</v>
      </c>
      <c r="W56">
        <v>694</v>
      </c>
      <c r="X56" t="s">
        <v>431</v>
      </c>
      <c r="Y56">
        <v>1</v>
      </c>
      <c r="Z56">
        <v>4531594.72</v>
      </c>
      <c r="AA56">
        <v>1957996.58</v>
      </c>
    </row>
    <row r="57" spans="4:27">
      <c r="D57" t="s">
        <v>61</v>
      </c>
      <c r="E57">
        <v>20</v>
      </c>
      <c r="H57" t="s">
        <v>212</v>
      </c>
      <c r="I57">
        <v>289</v>
      </c>
      <c r="J57">
        <v>1705484867.1900001</v>
      </c>
      <c r="K57">
        <v>1056206317.01</v>
      </c>
      <c r="L57">
        <v>3090038308.8600001</v>
      </c>
      <c r="M57">
        <v>15.59034602</v>
      </c>
      <c r="N57">
        <v>29</v>
      </c>
      <c r="O57">
        <v>10.029999999999999</v>
      </c>
      <c r="Q57" t="s">
        <v>73</v>
      </c>
      <c r="R57">
        <v>14</v>
      </c>
      <c r="S57">
        <v>3603660.23</v>
      </c>
      <c r="W57">
        <v>1373</v>
      </c>
      <c r="X57" t="s">
        <v>432</v>
      </c>
      <c r="Y57">
        <v>1</v>
      </c>
      <c r="Z57">
        <v>4514696</v>
      </c>
      <c r="AA57">
        <v>957710.19</v>
      </c>
    </row>
    <row r="58" spans="4:27">
      <c r="D58" t="s">
        <v>62</v>
      </c>
      <c r="E58">
        <v>18</v>
      </c>
      <c r="H58" t="s">
        <v>210</v>
      </c>
      <c r="I58">
        <v>274</v>
      </c>
      <c r="J58">
        <v>1654402160.24</v>
      </c>
      <c r="K58">
        <v>950599714.21000004</v>
      </c>
      <c r="L58">
        <v>2946614629.6799998</v>
      </c>
      <c r="M58">
        <v>16.650328470000002</v>
      </c>
      <c r="N58">
        <v>27</v>
      </c>
      <c r="O58">
        <v>9.85</v>
      </c>
      <c r="Q58" t="s">
        <v>74</v>
      </c>
      <c r="R58">
        <v>10</v>
      </c>
      <c r="S58">
        <v>3409491.73</v>
      </c>
      <c r="W58">
        <v>383</v>
      </c>
      <c r="X58" t="s">
        <v>433</v>
      </c>
      <c r="Y58">
        <v>1</v>
      </c>
      <c r="Z58">
        <v>4500445.01</v>
      </c>
      <c r="AA58">
        <v>115374.08</v>
      </c>
    </row>
    <row r="59" spans="4:27">
      <c r="D59" t="s">
        <v>63</v>
      </c>
      <c r="E59">
        <v>29</v>
      </c>
      <c r="H59" t="s">
        <v>216</v>
      </c>
      <c r="I59">
        <v>310</v>
      </c>
      <c r="J59">
        <v>1558014944.98</v>
      </c>
      <c r="K59">
        <v>914925677.44000006</v>
      </c>
      <c r="L59">
        <v>2738574278.2800002</v>
      </c>
      <c r="M59">
        <v>16.301967739999998</v>
      </c>
      <c r="N59">
        <v>28</v>
      </c>
      <c r="O59">
        <v>9.0299999999999994</v>
      </c>
      <c r="Q59" t="s">
        <v>75</v>
      </c>
      <c r="R59">
        <v>12</v>
      </c>
      <c r="S59">
        <v>4715957.67</v>
      </c>
      <c r="W59">
        <v>402</v>
      </c>
      <c r="X59" t="s">
        <v>434</v>
      </c>
      <c r="Y59">
        <v>1</v>
      </c>
      <c r="Z59">
        <v>4498487.9000000004</v>
      </c>
      <c r="AA59">
        <v>0</v>
      </c>
    </row>
    <row r="60" spans="4:27">
      <c r="D60" t="s">
        <v>64</v>
      </c>
      <c r="E60">
        <v>19</v>
      </c>
      <c r="H60" t="s">
        <v>211</v>
      </c>
      <c r="I60">
        <v>281</v>
      </c>
      <c r="J60">
        <v>1564958388.8900001</v>
      </c>
      <c r="K60">
        <v>897006661.54999995</v>
      </c>
      <c r="L60">
        <v>2538874206.48</v>
      </c>
      <c r="M60">
        <v>16.581494660000001</v>
      </c>
      <c r="N60">
        <v>23</v>
      </c>
      <c r="O60">
        <v>8.19</v>
      </c>
      <c r="Q60" t="s">
        <v>76</v>
      </c>
      <c r="R60">
        <v>14</v>
      </c>
      <c r="S60">
        <v>5593027.5899999999</v>
      </c>
      <c r="W60">
        <v>832</v>
      </c>
      <c r="X60" t="s">
        <v>435</v>
      </c>
      <c r="Y60">
        <v>1</v>
      </c>
      <c r="Z60">
        <v>4497365.1500000004</v>
      </c>
      <c r="AA60">
        <v>0</v>
      </c>
    </row>
    <row r="61" spans="4:27">
      <c r="D61" t="s">
        <v>65</v>
      </c>
      <c r="E61">
        <v>13</v>
      </c>
      <c r="H61" t="s">
        <v>213</v>
      </c>
      <c r="I61">
        <v>258</v>
      </c>
      <c r="J61">
        <v>1324362932.8699999</v>
      </c>
      <c r="K61">
        <v>694106597.87</v>
      </c>
      <c r="L61">
        <v>2112290597.52</v>
      </c>
      <c r="M61">
        <v>16.2525969</v>
      </c>
      <c r="N61">
        <v>20</v>
      </c>
      <c r="O61">
        <v>7.75</v>
      </c>
      <c r="Q61" t="s">
        <v>77</v>
      </c>
      <c r="R61">
        <v>18</v>
      </c>
      <c r="S61">
        <v>7180714.96</v>
      </c>
      <c r="W61">
        <v>1130</v>
      </c>
      <c r="X61" t="s">
        <v>436</v>
      </c>
      <c r="Y61">
        <v>1</v>
      </c>
      <c r="Z61">
        <v>4495902.92</v>
      </c>
      <c r="AA61">
        <v>0</v>
      </c>
    </row>
    <row r="62" spans="4:27">
      <c r="D62" t="s">
        <v>66</v>
      </c>
      <c r="E62">
        <v>23</v>
      </c>
      <c r="H62" t="s">
        <v>215</v>
      </c>
      <c r="I62">
        <v>288</v>
      </c>
      <c r="J62">
        <v>1321074388.8599999</v>
      </c>
      <c r="K62">
        <v>769839111.01999998</v>
      </c>
      <c r="L62">
        <v>2320715433.3000002</v>
      </c>
      <c r="M62">
        <v>15.87982639</v>
      </c>
      <c r="N62">
        <v>20</v>
      </c>
      <c r="O62">
        <v>6.94</v>
      </c>
      <c r="Q62" t="s">
        <v>78</v>
      </c>
      <c r="R62">
        <v>15</v>
      </c>
      <c r="S62">
        <v>7081834.4800000004</v>
      </c>
      <c r="W62">
        <v>1794</v>
      </c>
      <c r="X62" t="s">
        <v>437</v>
      </c>
      <c r="Y62">
        <v>1</v>
      </c>
      <c r="Z62">
        <v>4484410.09</v>
      </c>
      <c r="AA62">
        <v>0</v>
      </c>
    </row>
    <row r="63" spans="4:27">
      <c r="D63" t="s">
        <v>67</v>
      </c>
      <c r="E63">
        <v>19</v>
      </c>
      <c r="H63" t="s">
        <v>214</v>
      </c>
      <c r="I63">
        <v>300</v>
      </c>
      <c r="J63">
        <v>1878007183.6700001</v>
      </c>
      <c r="K63">
        <v>1058944335.9</v>
      </c>
      <c r="L63">
        <v>3338828525.52</v>
      </c>
      <c r="M63">
        <v>16.002199999999998</v>
      </c>
      <c r="N63">
        <v>17</v>
      </c>
      <c r="O63">
        <v>5.67</v>
      </c>
      <c r="Q63" t="s">
        <v>79</v>
      </c>
      <c r="R63">
        <v>13</v>
      </c>
      <c r="S63">
        <v>4443014.9400000004</v>
      </c>
      <c r="W63">
        <v>811</v>
      </c>
      <c r="X63" t="s">
        <v>438</v>
      </c>
      <c r="Y63">
        <v>1</v>
      </c>
      <c r="Z63">
        <v>4481463.76</v>
      </c>
      <c r="AA63">
        <v>0</v>
      </c>
    </row>
    <row r="64" spans="4:27">
      <c r="D64" t="s">
        <v>68</v>
      </c>
      <c r="E64">
        <v>18</v>
      </c>
      <c r="Q64" t="s">
        <v>80</v>
      </c>
      <c r="R64">
        <v>20</v>
      </c>
      <c r="S64">
        <v>7894173.1600000001</v>
      </c>
      <c r="W64">
        <v>70</v>
      </c>
      <c r="X64" t="s">
        <v>439</v>
      </c>
      <c r="Y64">
        <v>1</v>
      </c>
      <c r="Z64">
        <v>4480830.3899999997</v>
      </c>
      <c r="AA64">
        <v>265834.06</v>
      </c>
    </row>
    <row r="65" spans="4:27">
      <c r="D65" t="s">
        <v>69</v>
      </c>
      <c r="E65">
        <v>14</v>
      </c>
      <c r="Q65" t="s">
        <v>81</v>
      </c>
      <c r="R65">
        <v>12</v>
      </c>
      <c r="S65">
        <v>5082853.26</v>
      </c>
      <c r="W65">
        <v>1700</v>
      </c>
      <c r="X65" t="s">
        <v>440</v>
      </c>
      <c r="Y65">
        <v>1</v>
      </c>
      <c r="Z65">
        <v>4479512.3899999997</v>
      </c>
      <c r="AA65">
        <v>0</v>
      </c>
    </row>
    <row r="66" spans="4:27">
      <c r="D66" t="s">
        <v>70</v>
      </c>
      <c r="E66">
        <v>17</v>
      </c>
      <c r="Q66" t="s">
        <v>82</v>
      </c>
      <c r="R66">
        <v>12</v>
      </c>
      <c r="S66">
        <v>4212784.16</v>
      </c>
      <c r="W66">
        <v>1034</v>
      </c>
      <c r="X66" t="s">
        <v>441</v>
      </c>
      <c r="Y66">
        <v>1</v>
      </c>
      <c r="Z66">
        <v>4476801.3600000003</v>
      </c>
      <c r="AA66">
        <v>0</v>
      </c>
    </row>
    <row r="67" spans="4:27">
      <c r="D67" t="s">
        <v>71</v>
      </c>
      <c r="E67">
        <v>19</v>
      </c>
      <c r="Q67" t="s">
        <v>83</v>
      </c>
      <c r="R67">
        <v>20</v>
      </c>
      <c r="S67">
        <v>6288621</v>
      </c>
      <c r="W67">
        <v>426</v>
      </c>
      <c r="X67" t="s">
        <v>442</v>
      </c>
      <c r="Y67">
        <v>1</v>
      </c>
      <c r="Z67">
        <v>4476752.7699999996</v>
      </c>
      <c r="AA67">
        <v>0</v>
      </c>
    </row>
    <row r="68" spans="4:27">
      <c r="D68" t="s">
        <v>72</v>
      </c>
      <c r="E68">
        <v>21</v>
      </c>
      <c r="Q68" t="s">
        <v>84</v>
      </c>
      <c r="R68">
        <v>13</v>
      </c>
      <c r="S68">
        <v>4221159.5199999996</v>
      </c>
      <c r="W68">
        <v>1825</v>
      </c>
      <c r="X68" t="s">
        <v>443</v>
      </c>
      <c r="Y68">
        <v>1</v>
      </c>
      <c r="Z68">
        <v>4474373.9800000004</v>
      </c>
      <c r="AA68">
        <v>263760.33</v>
      </c>
    </row>
    <row r="69" spans="4:27">
      <c r="D69" t="s">
        <v>73</v>
      </c>
      <c r="E69">
        <v>11</v>
      </c>
      <c r="H69" s="1" t="s">
        <v>217</v>
      </c>
      <c r="I69" s="1" t="s">
        <v>163</v>
      </c>
      <c r="J69" s="1" t="s">
        <v>218</v>
      </c>
      <c r="K69" s="1" t="s">
        <v>195</v>
      </c>
      <c r="L69" s="1" t="s">
        <v>196</v>
      </c>
      <c r="M69" s="1" t="s">
        <v>219</v>
      </c>
      <c r="N69" s="1" t="s">
        <v>220</v>
      </c>
      <c r="O69" s="1" t="s">
        <v>221</v>
      </c>
      <c r="Q69" t="s">
        <v>85</v>
      </c>
      <c r="R69">
        <v>18</v>
      </c>
      <c r="S69">
        <v>8408482.4399999995</v>
      </c>
      <c r="W69">
        <v>1163</v>
      </c>
      <c r="X69" t="s">
        <v>444</v>
      </c>
      <c r="Y69">
        <v>1</v>
      </c>
      <c r="Z69">
        <v>4463924.28</v>
      </c>
      <c r="AA69">
        <v>0</v>
      </c>
    </row>
    <row r="70" spans="4:27">
      <c r="D70" t="s">
        <v>74</v>
      </c>
      <c r="E70">
        <v>11</v>
      </c>
      <c r="H70" t="s">
        <v>222</v>
      </c>
      <c r="I70">
        <v>458</v>
      </c>
      <c r="J70" t="s">
        <v>210</v>
      </c>
      <c r="K70">
        <v>29276934.02</v>
      </c>
      <c r="L70">
        <v>49399552.659999996</v>
      </c>
      <c r="M70">
        <v>14.75</v>
      </c>
      <c r="N70" s="2">
        <v>49442</v>
      </c>
      <c r="O70" t="s">
        <v>199</v>
      </c>
      <c r="Q70" t="s">
        <v>86</v>
      </c>
      <c r="R70">
        <v>19</v>
      </c>
      <c r="S70">
        <v>8171230.0599999996</v>
      </c>
      <c r="W70">
        <v>1246</v>
      </c>
      <c r="X70" t="s">
        <v>445</v>
      </c>
      <c r="Y70">
        <v>1</v>
      </c>
      <c r="Z70">
        <v>4458267.88</v>
      </c>
      <c r="AA70">
        <v>0</v>
      </c>
    </row>
    <row r="71" spans="4:27">
      <c r="D71" t="s">
        <v>75</v>
      </c>
      <c r="E71">
        <v>22</v>
      </c>
      <c r="H71" t="s">
        <v>223</v>
      </c>
      <c r="I71">
        <v>1520</v>
      </c>
      <c r="J71" t="s">
        <v>212</v>
      </c>
      <c r="K71">
        <v>23466152.23</v>
      </c>
      <c r="L71">
        <v>39264223.950000003</v>
      </c>
      <c r="M71">
        <v>23.31</v>
      </c>
      <c r="N71" s="2">
        <v>48132</v>
      </c>
      <c r="O71" t="s">
        <v>199</v>
      </c>
      <c r="Q71" t="s">
        <v>87</v>
      </c>
      <c r="R71">
        <v>19</v>
      </c>
      <c r="S71">
        <v>7538730.6200000001</v>
      </c>
      <c r="W71">
        <v>28</v>
      </c>
      <c r="X71" t="s">
        <v>446</v>
      </c>
      <c r="Y71">
        <v>1</v>
      </c>
      <c r="Z71">
        <v>4456873.6399999997</v>
      </c>
      <c r="AA71">
        <v>0</v>
      </c>
    </row>
    <row r="72" spans="4:27">
      <c r="D72" t="s">
        <v>76</v>
      </c>
      <c r="E72">
        <v>21</v>
      </c>
      <c r="H72" t="s">
        <v>224</v>
      </c>
      <c r="I72">
        <v>960</v>
      </c>
      <c r="J72" t="s">
        <v>214</v>
      </c>
      <c r="K72">
        <v>25398298.579999998</v>
      </c>
      <c r="L72">
        <v>38670819.810000002</v>
      </c>
      <c r="M72">
        <v>20.93</v>
      </c>
      <c r="N72" s="2">
        <v>48109</v>
      </c>
      <c r="O72" t="s">
        <v>199</v>
      </c>
      <c r="Q72" t="s">
        <v>88</v>
      </c>
      <c r="R72">
        <v>12</v>
      </c>
      <c r="S72">
        <v>6400125.0899999999</v>
      </c>
      <c r="W72">
        <v>376</v>
      </c>
      <c r="X72" t="s">
        <v>447</v>
      </c>
      <c r="Y72">
        <v>1</v>
      </c>
      <c r="Z72">
        <v>4455708.3899999997</v>
      </c>
      <c r="AA72">
        <v>0</v>
      </c>
    </row>
    <row r="73" spans="4:27">
      <c r="D73" t="s">
        <v>77</v>
      </c>
      <c r="E73">
        <v>18</v>
      </c>
      <c r="H73" t="s">
        <v>225</v>
      </c>
      <c r="I73">
        <v>1428</v>
      </c>
      <c r="J73" t="s">
        <v>213</v>
      </c>
      <c r="K73">
        <v>13160622.17</v>
      </c>
      <c r="L73">
        <v>34486758.119999997</v>
      </c>
      <c r="M73">
        <v>14.91</v>
      </c>
      <c r="N73" s="2">
        <v>52248</v>
      </c>
      <c r="O73" t="s">
        <v>199</v>
      </c>
      <c r="Q73" t="s">
        <v>89</v>
      </c>
      <c r="R73">
        <v>24</v>
      </c>
      <c r="S73">
        <v>9096340.6099999994</v>
      </c>
      <c r="W73">
        <v>769</v>
      </c>
      <c r="X73" t="s">
        <v>448</v>
      </c>
      <c r="Y73">
        <v>1</v>
      </c>
      <c r="Z73">
        <v>4451503.3499999996</v>
      </c>
      <c r="AA73">
        <v>0</v>
      </c>
    </row>
    <row r="74" spans="4:27">
      <c r="D74" t="s">
        <v>78</v>
      </c>
      <c r="E74">
        <v>25</v>
      </c>
      <c r="H74" t="s">
        <v>226</v>
      </c>
      <c r="I74">
        <v>1460</v>
      </c>
      <c r="J74" t="s">
        <v>213</v>
      </c>
      <c r="K74">
        <v>27186619.710000001</v>
      </c>
      <c r="L74">
        <v>30292628.800000001</v>
      </c>
      <c r="M74">
        <v>18.600000000000001</v>
      </c>
      <c r="N74" s="2">
        <v>45864</v>
      </c>
      <c r="O74" t="s">
        <v>199</v>
      </c>
      <c r="Q74" t="s">
        <v>90</v>
      </c>
      <c r="R74">
        <v>20</v>
      </c>
      <c r="S74">
        <v>7937414.9199999999</v>
      </c>
      <c r="W74">
        <v>1651</v>
      </c>
      <c r="X74" t="s">
        <v>449</v>
      </c>
      <c r="Y74">
        <v>1</v>
      </c>
      <c r="Z74">
        <v>4444124.58</v>
      </c>
      <c r="AA74">
        <v>495292.91</v>
      </c>
    </row>
    <row r="75" spans="4:27">
      <c r="D75" t="s">
        <v>79</v>
      </c>
      <c r="E75">
        <v>15</v>
      </c>
      <c r="H75" t="s">
        <v>227</v>
      </c>
      <c r="I75">
        <v>1480</v>
      </c>
      <c r="J75" t="s">
        <v>215</v>
      </c>
      <c r="K75">
        <v>24595931.949999999</v>
      </c>
      <c r="L75">
        <v>24185621.309999999</v>
      </c>
      <c r="M75">
        <v>25.15</v>
      </c>
      <c r="N75" s="2">
        <v>51196</v>
      </c>
      <c r="O75" t="s">
        <v>199</v>
      </c>
      <c r="Q75" t="s">
        <v>91</v>
      </c>
      <c r="R75">
        <v>15</v>
      </c>
      <c r="S75">
        <v>5182138.7699999996</v>
      </c>
      <c r="W75">
        <v>1820</v>
      </c>
      <c r="X75" t="s">
        <v>450</v>
      </c>
      <c r="Y75">
        <v>1</v>
      </c>
      <c r="Z75">
        <v>4443781.72</v>
      </c>
      <c r="AA75">
        <v>165820.95000000001</v>
      </c>
    </row>
    <row r="76" spans="4:27">
      <c r="D76" t="s">
        <v>80</v>
      </c>
      <c r="E76">
        <v>17</v>
      </c>
      <c r="H76" t="s">
        <v>228</v>
      </c>
      <c r="I76">
        <v>433</v>
      </c>
      <c r="J76" t="s">
        <v>211</v>
      </c>
      <c r="K76">
        <v>13125943.369999999</v>
      </c>
      <c r="L76">
        <v>24092472.710000001</v>
      </c>
      <c r="M76">
        <v>14.04</v>
      </c>
      <c r="N76" s="2">
        <v>50380</v>
      </c>
      <c r="O76" t="s">
        <v>199</v>
      </c>
      <c r="Q76" t="s">
        <v>92</v>
      </c>
      <c r="R76">
        <v>21</v>
      </c>
      <c r="S76">
        <v>7547812.3600000003</v>
      </c>
      <c r="W76">
        <v>473</v>
      </c>
      <c r="X76" t="s">
        <v>451</v>
      </c>
      <c r="Y76">
        <v>1</v>
      </c>
      <c r="Z76">
        <v>4443755.78</v>
      </c>
      <c r="AA76">
        <v>0</v>
      </c>
    </row>
    <row r="77" spans="4:27">
      <c r="D77" t="s">
        <v>81</v>
      </c>
      <c r="E77">
        <v>18</v>
      </c>
      <c r="H77" t="s">
        <v>229</v>
      </c>
      <c r="I77">
        <v>873</v>
      </c>
      <c r="J77" t="s">
        <v>211</v>
      </c>
      <c r="K77">
        <v>25250694.280000001</v>
      </c>
      <c r="L77">
        <v>23605561.510000002</v>
      </c>
      <c r="M77">
        <v>16.16</v>
      </c>
      <c r="N77" s="2">
        <v>45952</v>
      </c>
      <c r="O77" t="s">
        <v>199</v>
      </c>
      <c r="Q77" t="s">
        <v>93</v>
      </c>
      <c r="R77">
        <v>16</v>
      </c>
      <c r="S77">
        <v>5559819.6900000004</v>
      </c>
      <c r="W77">
        <v>493</v>
      </c>
      <c r="X77" t="s">
        <v>452</v>
      </c>
      <c r="Y77">
        <v>1</v>
      </c>
      <c r="Z77">
        <v>4443237</v>
      </c>
      <c r="AA77">
        <v>0</v>
      </c>
    </row>
    <row r="78" spans="4:27">
      <c r="D78" t="s">
        <v>82</v>
      </c>
      <c r="E78">
        <v>20</v>
      </c>
      <c r="H78" t="s">
        <v>230</v>
      </c>
      <c r="I78">
        <v>1316</v>
      </c>
      <c r="J78" t="s">
        <v>212</v>
      </c>
      <c r="K78">
        <v>20224981.210000001</v>
      </c>
      <c r="L78">
        <v>22515353.190000001</v>
      </c>
      <c r="M78">
        <v>8.8699999999999992</v>
      </c>
      <c r="N78" s="2">
        <v>45050</v>
      </c>
      <c r="O78" t="s">
        <v>199</v>
      </c>
      <c r="Q78" t="s">
        <v>94</v>
      </c>
      <c r="R78">
        <v>17</v>
      </c>
      <c r="S78">
        <v>8542810.4800000004</v>
      </c>
      <c r="W78">
        <v>83</v>
      </c>
      <c r="X78" t="s">
        <v>453</v>
      </c>
      <c r="Y78">
        <v>1</v>
      </c>
      <c r="Z78">
        <v>4438272.92</v>
      </c>
      <c r="AA78">
        <v>944801.72</v>
      </c>
    </row>
    <row r="79" spans="4:27">
      <c r="D79" t="s">
        <v>83</v>
      </c>
      <c r="E79">
        <v>11</v>
      </c>
      <c r="H79" t="s">
        <v>231</v>
      </c>
      <c r="I79">
        <v>5</v>
      </c>
      <c r="J79" t="s">
        <v>216</v>
      </c>
      <c r="K79">
        <v>14348092.810000001</v>
      </c>
      <c r="L79">
        <v>19923703.68</v>
      </c>
      <c r="M79">
        <v>17.41</v>
      </c>
      <c r="N79" s="2">
        <v>45933</v>
      </c>
      <c r="O79" t="s">
        <v>199</v>
      </c>
      <c r="Q79" t="s">
        <v>95</v>
      </c>
      <c r="R79">
        <v>24</v>
      </c>
      <c r="S79">
        <v>10787037.15</v>
      </c>
    </row>
    <row r="80" spans="4:27">
      <c r="D80" t="s">
        <v>84</v>
      </c>
      <c r="E80">
        <v>14</v>
      </c>
      <c r="H80" t="s">
        <v>232</v>
      </c>
      <c r="I80">
        <v>1582</v>
      </c>
      <c r="J80" t="s">
        <v>212</v>
      </c>
      <c r="K80">
        <v>13381039.630000001</v>
      </c>
      <c r="L80">
        <v>18439402.09</v>
      </c>
      <c r="M80">
        <v>17.309999999999999</v>
      </c>
      <c r="N80" s="2">
        <v>49223</v>
      </c>
      <c r="O80" t="s">
        <v>199</v>
      </c>
      <c r="Q80" t="s">
        <v>96</v>
      </c>
      <c r="R80">
        <v>25</v>
      </c>
      <c r="S80">
        <v>9908792.1999999993</v>
      </c>
    </row>
    <row r="81" spans="4:19">
      <c r="D81" t="s">
        <v>85</v>
      </c>
      <c r="E81">
        <v>17</v>
      </c>
      <c r="H81" t="s">
        <v>233</v>
      </c>
      <c r="I81">
        <v>1699</v>
      </c>
      <c r="J81" t="s">
        <v>211</v>
      </c>
      <c r="K81">
        <v>30826497.420000002</v>
      </c>
      <c r="L81">
        <v>16367057.83</v>
      </c>
      <c r="M81">
        <v>14.4</v>
      </c>
      <c r="N81" s="2">
        <v>45568</v>
      </c>
      <c r="O81" t="s">
        <v>199</v>
      </c>
      <c r="Q81" t="s">
        <v>97</v>
      </c>
      <c r="R81">
        <v>23</v>
      </c>
      <c r="S81">
        <v>9677878.5600000005</v>
      </c>
    </row>
    <row r="82" spans="4:19">
      <c r="D82" t="s">
        <v>86</v>
      </c>
      <c r="E82">
        <v>9</v>
      </c>
      <c r="H82" t="s">
        <v>234</v>
      </c>
      <c r="I82">
        <v>920</v>
      </c>
      <c r="J82" t="s">
        <v>212</v>
      </c>
      <c r="K82">
        <v>9008802.7200000007</v>
      </c>
      <c r="L82">
        <v>15803544.970000001</v>
      </c>
      <c r="M82">
        <v>10.65</v>
      </c>
      <c r="N82" s="2">
        <v>52972</v>
      </c>
      <c r="O82" t="s">
        <v>199</v>
      </c>
      <c r="Q82" t="s">
        <v>98</v>
      </c>
      <c r="R82">
        <v>22</v>
      </c>
      <c r="S82">
        <v>9101790.7200000007</v>
      </c>
    </row>
    <row r="83" spans="4:19">
      <c r="D83" t="s">
        <v>87</v>
      </c>
      <c r="E83">
        <v>17</v>
      </c>
      <c r="H83" t="s">
        <v>235</v>
      </c>
      <c r="I83">
        <v>1723</v>
      </c>
      <c r="J83" t="s">
        <v>214</v>
      </c>
      <c r="K83">
        <v>11801671.210000001</v>
      </c>
      <c r="L83">
        <v>15040819.640000001</v>
      </c>
      <c r="M83">
        <v>26.6</v>
      </c>
      <c r="N83" s="2">
        <v>48353</v>
      </c>
      <c r="O83" t="s">
        <v>199</v>
      </c>
      <c r="Q83" t="s">
        <v>99</v>
      </c>
      <c r="R83">
        <v>17</v>
      </c>
      <c r="S83">
        <v>7366827.4100000001</v>
      </c>
    </row>
    <row r="84" spans="4:19">
      <c r="D84" t="s">
        <v>88</v>
      </c>
      <c r="E84">
        <v>24</v>
      </c>
      <c r="H84" t="s">
        <v>236</v>
      </c>
      <c r="I84">
        <v>1057</v>
      </c>
      <c r="J84" t="s">
        <v>213</v>
      </c>
      <c r="K84">
        <v>25376428.879999999</v>
      </c>
      <c r="L84">
        <v>13741580.4</v>
      </c>
      <c r="M84">
        <v>17.739999999999998</v>
      </c>
      <c r="N84" s="2">
        <v>44902</v>
      </c>
      <c r="O84" t="s">
        <v>199</v>
      </c>
      <c r="Q84" t="s">
        <v>100</v>
      </c>
      <c r="R84">
        <v>20</v>
      </c>
      <c r="S84">
        <v>9457356.5</v>
      </c>
    </row>
    <row r="85" spans="4:19">
      <c r="D85" t="s">
        <v>89</v>
      </c>
      <c r="E85">
        <v>17</v>
      </c>
      <c r="H85" t="s">
        <v>237</v>
      </c>
      <c r="I85">
        <v>1024</v>
      </c>
      <c r="J85" t="s">
        <v>213</v>
      </c>
      <c r="K85">
        <v>4411387.63</v>
      </c>
      <c r="L85">
        <v>13510938.060000001</v>
      </c>
      <c r="M85">
        <v>21.6</v>
      </c>
      <c r="N85" s="2">
        <v>49322</v>
      </c>
      <c r="O85" t="s">
        <v>199</v>
      </c>
      <c r="Q85" t="s">
        <v>101</v>
      </c>
      <c r="R85">
        <v>22</v>
      </c>
      <c r="S85">
        <v>9583321.9299999997</v>
      </c>
    </row>
    <row r="86" spans="4:19">
      <c r="D86" t="s">
        <v>90</v>
      </c>
      <c r="E86">
        <v>13</v>
      </c>
      <c r="H86" t="s">
        <v>238</v>
      </c>
      <c r="I86">
        <v>781</v>
      </c>
      <c r="J86" t="s">
        <v>213</v>
      </c>
      <c r="K86">
        <v>10749089.609999999</v>
      </c>
      <c r="L86">
        <v>13257189.49</v>
      </c>
      <c r="M86">
        <v>10.77</v>
      </c>
      <c r="N86" s="2">
        <v>49055</v>
      </c>
      <c r="O86" t="s">
        <v>199</v>
      </c>
      <c r="Q86" t="s">
        <v>102</v>
      </c>
      <c r="R86">
        <v>20</v>
      </c>
      <c r="S86">
        <v>8675500.9199999999</v>
      </c>
    </row>
    <row r="87" spans="4:19">
      <c r="D87" t="s">
        <v>91</v>
      </c>
      <c r="E87">
        <v>20</v>
      </c>
      <c r="H87" t="s">
        <v>239</v>
      </c>
      <c r="I87">
        <v>110</v>
      </c>
      <c r="J87" t="s">
        <v>214</v>
      </c>
      <c r="K87">
        <v>12933264.98</v>
      </c>
      <c r="L87">
        <v>12266546.109999999</v>
      </c>
      <c r="M87">
        <v>11.86</v>
      </c>
      <c r="N87" s="2">
        <v>45723</v>
      </c>
      <c r="O87" t="s">
        <v>199</v>
      </c>
      <c r="Q87" t="s">
        <v>103</v>
      </c>
      <c r="R87">
        <v>30</v>
      </c>
      <c r="S87">
        <v>10475511.59</v>
      </c>
    </row>
    <row r="88" spans="4:19">
      <c r="D88" t="s">
        <v>92</v>
      </c>
      <c r="E88">
        <v>27</v>
      </c>
      <c r="H88" t="s">
        <v>240</v>
      </c>
      <c r="I88">
        <v>1345</v>
      </c>
      <c r="J88" t="s">
        <v>211</v>
      </c>
      <c r="K88">
        <v>14011264.59</v>
      </c>
      <c r="L88">
        <v>12126843.16</v>
      </c>
      <c r="M88">
        <v>27.3</v>
      </c>
      <c r="N88" s="2">
        <v>44406</v>
      </c>
      <c r="O88" t="s">
        <v>199</v>
      </c>
      <c r="Q88" t="s">
        <v>104</v>
      </c>
      <c r="R88">
        <v>21</v>
      </c>
      <c r="S88">
        <v>8996241.9499999993</v>
      </c>
    </row>
    <row r="89" spans="4:19">
      <c r="D89" t="s">
        <v>93</v>
      </c>
      <c r="E89">
        <v>16</v>
      </c>
      <c r="H89" t="s">
        <v>241</v>
      </c>
      <c r="I89">
        <v>1963</v>
      </c>
      <c r="J89" t="s">
        <v>213</v>
      </c>
      <c r="K89">
        <v>13217420.949999999</v>
      </c>
      <c r="L89">
        <v>11043160.050000001</v>
      </c>
      <c r="M89">
        <v>25.15</v>
      </c>
      <c r="N89" s="2">
        <v>46130</v>
      </c>
      <c r="O89" t="s">
        <v>199</v>
      </c>
      <c r="Q89" t="s">
        <v>105</v>
      </c>
      <c r="R89">
        <v>19</v>
      </c>
      <c r="S89">
        <v>7882191.1900000004</v>
      </c>
    </row>
    <row r="90" spans="4:19">
      <c r="D90" t="s">
        <v>94</v>
      </c>
      <c r="E90">
        <v>15</v>
      </c>
      <c r="H90" t="s">
        <v>242</v>
      </c>
      <c r="I90">
        <v>1501</v>
      </c>
      <c r="J90" t="s">
        <v>214</v>
      </c>
      <c r="K90">
        <v>8117907.5999999996</v>
      </c>
      <c r="L90">
        <v>10763975.810000001</v>
      </c>
      <c r="M90">
        <v>16.32</v>
      </c>
      <c r="N90" s="2">
        <v>47681</v>
      </c>
      <c r="O90" t="s">
        <v>199</v>
      </c>
      <c r="Q90" t="s">
        <v>106</v>
      </c>
      <c r="R90">
        <v>20</v>
      </c>
      <c r="S90">
        <v>9603116.2599999998</v>
      </c>
    </row>
    <row r="91" spans="4:19">
      <c r="D91" t="s">
        <v>95</v>
      </c>
      <c r="E91">
        <v>19</v>
      </c>
      <c r="H91" t="s">
        <v>243</v>
      </c>
      <c r="I91">
        <v>40</v>
      </c>
      <c r="J91" t="s">
        <v>215</v>
      </c>
      <c r="K91">
        <v>9671623.9900000002</v>
      </c>
      <c r="L91">
        <v>8881007.2300000004</v>
      </c>
      <c r="M91">
        <v>8.27</v>
      </c>
      <c r="N91" s="2">
        <v>45296</v>
      </c>
      <c r="O91" t="s">
        <v>199</v>
      </c>
      <c r="Q91" t="s">
        <v>107</v>
      </c>
      <c r="R91">
        <v>30</v>
      </c>
      <c r="S91">
        <v>14198169.789999999</v>
      </c>
    </row>
    <row r="92" spans="4:19">
      <c r="D92" t="s">
        <v>96</v>
      </c>
      <c r="E92">
        <v>16</v>
      </c>
      <c r="H92" t="s">
        <v>244</v>
      </c>
      <c r="I92">
        <v>1043</v>
      </c>
      <c r="J92" t="s">
        <v>210</v>
      </c>
      <c r="K92">
        <v>20652825.91</v>
      </c>
      <c r="L92">
        <v>8403747.6799999997</v>
      </c>
      <c r="M92">
        <v>14.69</v>
      </c>
      <c r="N92" s="2">
        <v>44761</v>
      </c>
      <c r="O92" t="s">
        <v>199</v>
      </c>
      <c r="Q92" t="s">
        <v>108</v>
      </c>
      <c r="R92">
        <v>33</v>
      </c>
      <c r="S92">
        <v>14678499.85</v>
      </c>
    </row>
    <row r="93" spans="4:19">
      <c r="D93" t="s">
        <v>97</v>
      </c>
      <c r="E93">
        <v>19</v>
      </c>
      <c r="H93" t="s">
        <v>245</v>
      </c>
      <c r="I93">
        <v>313</v>
      </c>
      <c r="J93" t="s">
        <v>215</v>
      </c>
      <c r="K93">
        <v>4959977.6100000003</v>
      </c>
      <c r="L93">
        <v>8093160.1799999997</v>
      </c>
      <c r="M93">
        <v>25.04</v>
      </c>
      <c r="N93" s="2">
        <v>47494</v>
      </c>
      <c r="O93" t="s">
        <v>199</v>
      </c>
      <c r="Q93" t="s">
        <v>109</v>
      </c>
      <c r="R93">
        <v>33</v>
      </c>
      <c r="S93">
        <v>13561081.65</v>
      </c>
    </row>
    <row r="94" spans="4:19">
      <c r="D94" t="s">
        <v>98</v>
      </c>
      <c r="E94">
        <v>11</v>
      </c>
      <c r="H94" t="s">
        <v>246</v>
      </c>
      <c r="I94">
        <v>124</v>
      </c>
      <c r="J94" t="s">
        <v>212</v>
      </c>
      <c r="K94">
        <v>5505573.3499999996</v>
      </c>
      <c r="L94">
        <v>7875227.1200000001</v>
      </c>
      <c r="M94">
        <v>22.3</v>
      </c>
      <c r="N94" s="2">
        <v>49409</v>
      </c>
      <c r="O94" t="s">
        <v>199</v>
      </c>
      <c r="Q94" t="s">
        <v>110</v>
      </c>
      <c r="R94">
        <v>29</v>
      </c>
      <c r="S94">
        <v>10415064.800000001</v>
      </c>
    </row>
    <row r="95" spans="4:19">
      <c r="D95" t="s">
        <v>99</v>
      </c>
      <c r="E95">
        <v>18</v>
      </c>
      <c r="H95" t="s">
        <v>247</v>
      </c>
      <c r="I95">
        <v>1670</v>
      </c>
      <c r="J95" t="s">
        <v>212</v>
      </c>
      <c r="K95">
        <v>5869916.5599999996</v>
      </c>
      <c r="L95">
        <v>7860184.4000000004</v>
      </c>
      <c r="M95">
        <v>25.33</v>
      </c>
      <c r="N95" s="2">
        <v>46957</v>
      </c>
      <c r="O95" t="s">
        <v>199</v>
      </c>
      <c r="Q95" t="s">
        <v>111</v>
      </c>
      <c r="R95">
        <v>35</v>
      </c>
      <c r="S95">
        <v>14268934.789999999</v>
      </c>
    </row>
    <row r="96" spans="4:19">
      <c r="D96" t="s">
        <v>100</v>
      </c>
      <c r="E96">
        <v>19</v>
      </c>
      <c r="H96" t="s">
        <v>248</v>
      </c>
      <c r="I96">
        <v>60</v>
      </c>
      <c r="J96" t="s">
        <v>212</v>
      </c>
      <c r="K96">
        <v>12860700.24</v>
      </c>
      <c r="L96">
        <v>7747569.0499999998</v>
      </c>
      <c r="M96">
        <v>13.51</v>
      </c>
      <c r="N96" s="2">
        <v>47249</v>
      </c>
      <c r="O96" t="s">
        <v>199</v>
      </c>
      <c r="Q96" t="s">
        <v>112</v>
      </c>
      <c r="R96">
        <v>35</v>
      </c>
      <c r="S96">
        <v>12271419.039999999</v>
      </c>
    </row>
    <row r="97" spans="4:19">
      <c r="D97" t="s">
        <v>101</v>
      </c>
      <c r="E97">
        <v>15</v>
      </c>
      <c r="H97" t="s">
        <v>249</v>
      </c>
      <c r="I97">
        <v>611</v>
      </c>
      <c r="J97" t="s">
        <v>216</v>
      </c>
      <c r="K97">
        <v>31059431.059999999</v>
      </c>
      <c r="L97">
        <v>7542210.4199999999</v>
      </c>
      <c r="M97">
        <v>12.55</v>
      </c>
      <c r="N97" s="2">
        <v>48691</v>
      </c>
      <c r="O97" t="s">
        <v>199</v>
      </c>
      <c r="Q97" t="s">
        <v>113</v>
      </c>
      <c r="R97">
        <v>31</v>
      </c>
      <c r="S97">
        <v>13742262.68</v>
      </c>
    </row>
    <row r="98" spans="4:19">
      <c r="D98" t="s">
        <v>102</v>
      </c>
      <c r="E98">
        <v>12</v>
      </c>
      <c r="H98" t="s">
        <v>250</v>
      </c>
      <c r="I98">
        <v>366</v>
      </c>
      <c r="J98" t="s">
        <v>212</v>
      </c>
      <c r="K98">
        <v>12480523.050000001</v>
      </c>
      <c r="L98">
        <v>6931041.8700000001</v>
      </c>
      <c r="M98">
        <v>7.74</v>
      </c>
      <c r="N98" s="2">
        <v>44847</v>
      </c>
      <c r="O98" t="s">
        <v>199</v>
      </c>
      <c r="Q98" t="s">
        <v>114</v>
      </c>
      <c r="R98">
        <v>40</v>
      </c>
      <c r="S98">
        <v>13401046.470000001</v>
      </c>
    </row>
    <row r="99" spans="4:19">
      <c r="D99" t="s">
        <v>103</v>
      </c>
      <c r="E99">
        <v>18</v>
      </c>
      <c r="H99" t="s">
        <v>251</v>
      </c>
      <c r="I99">
        <v>1515</v>
      </c>
      <c r="J99" t="s">
        <v>214</v>
      </c>
      <c r="K99">
        <v>13746764.800000001</v>
      </c>
      <c r="L99">
        <v>6853863.6900000004</v>
      </c>
      <c r="M99">
        <v>17.5</v>
      </c>
      <c r="N99" s="2">
        <v>43720</v>
      </c>
      <c r="O99" t="s">
        <v>199</v>
      </c>
      <c r="Q99" t="s">
        <v>115</v>
      </c>
      <c r="R99">
        <v>29</v>
      </c>
      <c r="S99">
        <v>11779440.92</v>
      </c>
    </row>
    <row r="100" spans="4:19">
      <c r="D100" t="s">
        <v>104</v>
      </c>
      <c r="E100">
        <v>16</v>
      </c>
      <c r="H100" t="s">
        <v>252</v>
      </c>
      <c r="I100">
        <v>1568</v>
      </c>
      <c r="J100" t="s">
        <v>213</v>
      </c>
      <c r="K100">
        <v>10634580.65</v>
      </c>
      <c r="L100">
        <v>6683872.25</v>
      </c>
      <c r="M100">
        <v>17.89</v>
      </c>
      <c r="N100" s="2">
        <v>45540</v>
      </c>
      <c r="O100" t="s">
        <v>199</v>
      </c>
      <c r="Q100" t="s">
        <v>116</v>
      </c>
      <c r="R100">
        <v>33</v>
      </c>
      <c r="S100">
        <v>14283026.43</v>
      </c>
    </row>
    <row r="101" spans="4:19">
      <c r="D101" t="s">
        <v>105</v>
      </c>
      <c r="E101">
        <v>17</v>
      </c>
      <c r="H101" t="s">
        <v>253</v>
      </c>
      <c r="I101">
        <v>1020</v>
      </c>
      <c r="J101" t="s">
        <v>211</v>
      </c>
      <c r="K101">
        <v>4181125.23</v>
      </c>
      <c r="L101">
        <v>6392802.2000000002</v>
      </c>
      <c r="M101">
        <v>21.24</v>
      </c>
      <c r="N101" s="2">
        <v>50858</v>
      </c>
      <c r="O101" t="s">
        <v>199</v>
      </c>
      <c r="Q101" t="s">
        <v>117</v>
      </c>
      <c r="R101">
        <v>44</v>
      </c>
      <c r="S101">
        <v>16949810.190000001</v>
      </c>
    </row>
    <row r="102" spans="4:19">
      <c r="D102" t="s">
        <v>106</v>
      </c>
      <c r="E102">
        <v>14</v>
      </c>
      <c r="H102" t="s">
        <v>254</v>
      </c>
      <c r="I102">
        <v>643</v>
      </c>
      <c r="J102" t="s">
        <v>211</v>
      </c>
      <c r="K102">
        <v>7297695.3099999996</v>
      </c>
      <c r="L102">
        <v>6388862.79</v>
      </c>
      <c r="M102">
        <v>4.78</v>
      </c>
      <c r="N102" s="2">
        <v>49618</v>
      </c>
      <c r="O102" t="s">
        <v>199</v>
      </c>
      <c r="Q102" t="s">
        <v>118</v>
      </c>
      <c r="R102">
        <v>56</v>
      </c>
      <c r="S102">
        <v>25306020.899999999</v>
      </c>
    </row>
    <row r="103" spans="4:19">
      <c r="D103" t="s">
        <v>107</v>
      </c>
      <c r="E103">
        <v>19</v>
      </c>
      <c r="H103" t="s">
        <v>255</v>
      </c>
      <c r="I103">
        <v>1078</v>
      </c>
      <c r="J103" t="s">
        <v>210</v>
      </c>
      <c r="K103">
        <v>12263376.300000001</v>
      </c>
      <c r="L103">
        <v>6371277.3499999996</v>
      </c>
      <c r="M103">
        <v>10.83</v>
      </c>
      <c r="N103" s="2">
        <v>44238</v>
      </c>
      <c r="O103" t="s">
        <v>199</v>
      </c>
      <c r="Q103" t="s">
        <v>119</v>
      </c>
      <c r="R103">
        <v>38</v>
      </c>
      <c r="S103">
        <v>15022767.199999999</v>
      </c>
    </row>
    <row r="104" spans="4:19">
      <c r="D104" t="s">
        <v>108</v>
      </c>
      <c r="E104">
        <v>19</v>
      </c>
      <c r="H104" t="s">
        <v>256</v>
      </c>
      <c r="I104">
        <v>573</v>
      </c>
      <c r="J104" t="s">
        <v>214</v>
      </c>
      <c r="K104">
        <v>10756686.08</v>
      </c>
      <c r="L104">
        <v>6288584.5</v>
      </c>
      <c r="M104">
        <v>21.67</v>
      </c>
      <c r="N104" s="2">
        <v>46369</v>
      </c>
      <c r="O104" t="s">
        <v>199</v>
      </c>
      <c r="Q104" t="s">
        <v>120</v>
      </c>
      <c r="R104">
        <v>46</v>
      </c>
      <c r="S104">
        <v>19559348.440000001</v>
      </c>
    </row>
    <row r="105" spans="4:19">
      <c r="D105" t="s">
        <v>109</v>
      </c>
      <c r="E105">
        <v>14</v>
      </c>
      <c r="H105" t="s">
        <v>257</v>
      </c>
      <c r="I105">
        <v>560</v>
      </c>
      <c r="J105" t="s">
        <v>215</v>
      </c>
      <c r="K105">
        <v>10103976.48</v>
      </c>
      <c r="L105">
        <v>5969220.0999999996</v>
      </c>
      <c r="M105">
        <v>26</v>
      </c>
      <c r="N105" s="2">
        <v>45429</v>
      </c>
      <c r="O105" t="s">
        <v>199</v>
      </c>
      <c r="Q105" t="s">
        <v>121</v>
      </c>
      <c r="R105">
        <v>30</v>
      </c>
      <c r="S105">
        <v>9927795.3800000008</v>
      </c>
    </row>
    <row r="106" spans="4:19">
      <c r="D106" t="s">
        <v>110</v>
      </c>
      <c r="E106">
        <v>15</v>
      </c>
      <c r="H106" t="s">
        <v>258</v>
      </c>
      <c r="I106">
        <v>1735</v>
      </c>
      <c r="J106" t="s">
        <v>212</v>
      </c>
      <c r="K106">
        <v>6343540.4699999997</v>
      </c>
      <c r="L106">
        <v>5448979.6600000001</v>
      </c>
      <c r="M106">
        <v>5.54</v>
      </c>
      <c r="N106" s="2">
        <v>52729</v>
      </c>
      <c r="O106" t="s">
        <v>199</v>
      </c>
      <c r="Q106" t="s">
        <v>122</v>
      </c>
      <c r="R106">
        <v>42</v>
      </c>
      <c r="S106">
        <v>18293753.84</v>
      </c>
    </row>
    <row r="107" spans="4:19">
      <c r="D107" t="s">
        <v>111</v>
      </c>
      <c r="E107">
        <v>17</v>
      </c>
      <c r="H107" t="s">
        <v>259</v>
      </c>
      <c r="I107">
        <v>1275</v>
      </c>
      <c r="J107" t="s">
        <v>216</v>
      </c>
      <c r="K107">
        <v>24137632.18</v>
      </c>
      <c r="L107">
        <v>5249704.2699999996</v>
      </c>
      <c r="M107">
        <v>14.22</v>
      </c>
      <c r="N107" s="2">
        <v>45132</v>
      </c>
      <c r="O107" t="s">
        <v>199</v>
      </c>
      <c r="Q107" t="s">
        <v>123</v>
      </c>
      <c r="R107">
        <v>50</v>
      </c>
      <c r="S107">
        <v>19496052.050000001</v>
      </c>
    </row>
    <row r="108" spans="4:19">
      <c r="D108" t="s">
        <v>112</v>
      </c>
      <c r="E108">
        <v>13</v>
      </c>
      <c r="H108" t="s">
        <v>260</v>
      </c>
      <c r="I108">
        <v>264</v>
      </c>
      <c r="J108" t="s">
        <v>211</v>
      </c>
      <c r="K108">
        <v>5559226.6500000004</v>
      </c>
      <c r="L108">
        <v>4712504.01</v>
      </c>
      <c r="M108">
        <v>16.649999999999999</v>
      </c>
      <c r="N108" s="2">
        <v>46237</v>
      </c>
      <c r="O108" t="s">
        <v>199</v>
      </c>
      <c r="Q108" t="s">
        <v>124</v>
      </c>
      <c r="R108">
        <v>50</v>
      </c>
      <c r="S108">
        <v>18133867.77</v>
      </c>
    </row>
    <row r="109" spans="4:19">
      <c r="D109" t="s">
        <v>113</v>
      </c>
      <c r="E109">
        <v>20</v>
      </c>
      <c r="H109" t="s">
        <v>261</v>
      </c>
      <c r="I109">
        <v>165</v>
      </c>
      <c r="J109" t="s">
        <v>215</v>
      </c>
      <c r="K109">
        <v>6972874.9199999999</v>
      </c>
      <c r="L109">
        <v>4425621.09</v>
      </c>
      <c r="M109">
        <v>12.11</v>
      </c>
      <c r="N109" s="2">
        <v>49326</v>
      </c>
      <c r="O109" t="s">
        <v>199</v>
      </c>
      <c r="Q109" t="s">
        <v>125</v>
      </c>
      <c r="R109">
        <v>43</v>
      </c>
      <c r="S109">
        <v>13745043.640000001</v>
      </c>
    </row>
    <row r="110" spans="4:19">
      <c r="D110" t="s">
        <v>114</v>
      </c>
      <c r="E110">
        <v>16</v>
      </c>
      <c r="H110" t="s">
        <v>262</v>
      </c>
      <c r="I110">
        <v>1269</v>
      </c>
      <c r="J110" t="s">
        <v>214</v>
      </c>
      <c r="K110">
        <v>4011873.4</v>
      </c>
      <c r="L110">
        <v>4412291.08</v>
      </c>
      <c r="M110">
        <v>25.21</v>
      </c>
      <c r="N110" s="2">
        <v>46165</v>
      </c>
      <c r="O110" t="s">
        <v>199</v>
      </c>
      <c r="Q110" t="s">
        <v>126</v>
      </c>
      <c r="R110">
        <v>61</v>
      </c>
      <c r="S110">
        <v>25031585.43</v>
      </c>
    </row>
    <row r="111" spans="4:19">
      <c r="D111" t="s">
        <v>115</v>
      </c>
      <c r="E111">
        <v>17</v>
      </c>
      <c r="H111" t="s">
        <v>263</v>
      </c>
      <c r="I111">
        <v>418</v>
      </c>
      <c r="J111" t="s">
        <v>215</v>
      </c>
      <c r="K111">
        <v>2564804.7599999998</v>
      </c>
      <c r="L111">
        <v>4391913.2300000004</v>
      </c>
      <c r="M111">
        <v>20.59</v>
      </c>
      <c r="N111" s="2">
        <v>47213</v>
      </c>
      <c r="O111" t="s">
        <v>199</v>
      </c>
      <c r="Q111" t="s">
        <v>127</v>
      </c>
      <c r="R111">
        <v>87</v>
      </c>
      <c r="S111">
        <v>33488606.850000001</v>
      </c>
    </row>
    <row r="112" spans="4:19">
      <c r="D112" t="s">
        <v>116</v>
      </c>
      <c r="E112">
        <v>26</v>
      </c>
      <c r="H112" t="s">
        <v>264</v>
      </c>
      <c r="I112">
        <v>388</v>
      </c>
      <c r="J112" t="s">
        <v>212</v>
      </c>
      <c r="K112">
        <v>14823441.33</v>
      </c>
      <c r="L112">
        <v>3814433.39</v>
      </c>
      <c r="M112">
        <v>11.64</v>
      </c>
      <c r="N112" s="2">
        <v>45271</v>
      </c>
      <c r="O112" t="s">
        <v>199</v>
      </c>
      <c r="Q112" t="s">
        <v>128</v>
      </c>
      <c r="R112">
        <v>90</v>
      </c>
      <c r="S112">
        <v>37690803.399999999</v>
      </c>
    </row>
    <row r="113" spans="4:20">
      <c r="D113" t="s">
        <v>117</v>
      </c>
      <c r="E113">
        <v>8</v>
      </c>
      <c r="H113" t="s">
        <v>265</v>
      </c>
      <c r="I113">
        <v>667</v>
      </c>
      <c r="J113" t="s">
        <v>214</v>
      </c>
      <c r="K113">
        <v>12857020.439999999</v>
      </c>
      <c r="L113">
        <v>3792881.66</v>
      </c>
      <c r="M113">
        <v>5.93</v>
      </c>
      <c r="N113" s="2">
        <v>45228</v>
      </c>
      <c r="O113" t="s">
        <v>199</v>
      </c>
    </row>
    <row r="114" spans="4:20">
      <c r="D114" t="s">
        <v>118</v>
      </c>
      <c r="E114">
        <v>17</v>
      </c>
      <c r="H114" t="s">
        <v>266</v>
      </c>
      <c r="I114">
        <v>586</v>
      </c>
      <c r="J114" t="s">
        <v>216</v>
      </c>
      <c r="K114">
        <v>5889615.6299999999</v>
      </c>
      <c r="L114">
        <v>3706216.4</v>
      </c>
      <c r="M114">
        <v>11.69</v>
      </c>
      <c r="N114" s="2">
        <v>44184</v>
      </c>
      <c r="O114" t="s">
        <v>199</v>
      </c>
    </row>
    <row r="115" spans="4:20">
      <c r="D115" t="s">
        <v>119</v>
      </c>
      <c r="E115">
        <v>17</v>
      </c>
      <c r="H115" t="s">
        <v>267</v>
      </c>
      <c r="I115">
        <v>1627</v>
      </c>
      <c r="J115" t="s">
        <v>211</v>
      </c>
      <c r="K115">
        <v>2669261.71</v>
      </c>
      <c r="L115">
        <v>3620236.06</v>
      </c>
      <c r="M115">
        <v>10.15</v>
      </c>
      <c r="N115" s="2">
        <v>47396</v>
      </c>
      <c r="O115" t="s">
        <v>199</v>
      </c>
    </row>
    <row r="116" spans="4:20">
      <c r="D116" t="s">
        <v>120</v>
      </c>
      <c r="E116">
        <v>14</v>
      </c>
      <c r="H116" t="s">
        <v>268</v>
      </c>
      <c r="I116">
        <v>1403</v>
      </c>
      <c r="J116" t="s">
        <v>212</v>
      </c>
      <c r="K116">
        <v>14512696.970000001</v>
      </c>
      <c r="L116">
        <v>3563078.31</v>
      </c>
      <c r="M116">
        <v>23.44</v>
      </c>
      <c r="N116" s="2">
        <v>45529</v>
      </c>
      <c r="O116" t="s">
        <v>199</v>
      </c>
    </row>
    <row r="117" spans="4:20">
      <c r="D117" t="s">
        <v>121</v>
      </c>
      <c r="E117">
        <v>17</v>
      </c>
      <c r="H117" t="s">
        <v>269</v>
      </c>
      <c r="I117">
        <v>1630</v>
      </c>
      <c r="J117" t="s">
        <v>211</v>
      </c>
      <c r="K117">
        <v>4204708.96</v>
      </c>
      <c r="L117">
        <v>3513646.05</v>
      </c>
      <c r="M117">
        <v>16.09</v>
      </c>
      <c r="N117" s="2">
        <v>45769</v>
      </c>
      <c r="O117" t="s">
        <v>199</v>
      </c>
    </row>
    <row r="118" spans="4:20">
      <c r="D118" t="s">
        <v>122</v>
      </c>
      <c r="E118">
        <v>16</v>
      </c>
      <c r="H118" t="s">
        <v>270</v>
      </c>
      <c r="I118">
        <v>952</v>
      </c>
      <c r="J118" t="s">
        <v>211</v>
      </c>
      <c r="K118">
        <v>2825652.64</v>
      </c>
      <c r="L118">
        <v>3500990.38</v>
      </c>
      <c r="M118">
        <v>26.15</v>
      </c>
      <c r="N118" s="2">
        <v>46274</v>
      </c>
      <c r="O118" t="s">
        <v>199</v>
      </c>
    </row>
    <row r="119" spans="4:20">
      <c r="D119" t="s">
        <v>123</v>
      </c>
      <c r="E119">
        <v>26</v>
      </c>
      <c r="H119" t="s">
        <v>271</v>
      </c>
      <c r="I119">
        <v>620</v>
      </c>
      <c r="J119" t="s">
        <v>212</v>
      </c>
      <c r="K119">
        <v>9211320.2599999998</v>
      </c>
      <c r="L119">
        <v>3393758.06</v>
      </c>
      <c r="M119">
        <v>21.2</v>
      </c>
      <c r="N119" s="2">
        <v>45690</v>
      </c>
      <c r="O119" t="s">
        <v>199</v>
      </c>
      <c r="R119" s="1" t="s">
        <v>203</v>
      </c>
      <c r="S119" s="1" t="s">
        <v>196</v>
      </c>
      <c r="T119" s="1" t="s">
        <v>386</v>
      </c>
    </row>
    <row r="120" spans="4:20">
      <c r="D120" t="s">
        <v>124</v>
      </c>
      <c r="E120">
        <v>16</v>
      </c>
      <c r="H120" t="s">
        <v>272</v>
      </c>
      <c r="I120">
        <v>644</v>
      </c>
      <c r="J120" t="s">
        <v>212</v>
      </c>
      <c r="K120">
        <v>5834403.7999999998</v>
      </c>
      <c r="L120">
        <v>3342591.12</v>
      </c>
      <c r="M120">
        <v>4.91</v>
      </c>
      <c r="N120" s="2">
        <v>45479</v>
      </c>
      <c r="O120" t="s">
        <v>199</v>
      </c>
      <c r="R120" t="s">
        <v>210</v>
      </c>
      <c r="S120">
        <v>743351820.89999998</v>
      </c>
      <c r="T120">
        <v>16.05</v>
      </c>
    </row>
    <row r="121" spans="4:20">
      <c r="D121" t="s">
        <v>125</v>
      </c>
      <c r="E121">
        <v>20</v>
      </c>
      <c r="H121" t="s">
        <v>273</v>
      </c>
      <c r="I121">
        <v>1816</v>
      </c>
      <c r="J121" t="s">
        <v>213</v>
      </c>
      <c r="K121">
        <v>2734604.12</v>
      </c>
      <c r="L121">
        <v>3171091.56</v>
      </c>
      <c r="M121">
        <v>20.98</v>
      </c>
      <c r="N121" s="2">
        <v>45435</v>
      </c>
      <c r="O121" t="s">
        <v>199</v>
      </c>
      <c r="R121" t="s">
        <v>212</v>
      </c>
      <c r="S121">
        <v>743283873.30999994</v>
      </c>
      <c r="T121">
        <v>16.05</v>
      </c>
    </row>
    <row r="122" spans="4:20">
      <c r="D122" t="s">
        <v>126</v>
      </c>
      <c r="E122">
        <v>18</v>
      </c>
      <c r="H122" t="s">
        <v>274</v>
      </c>
      <c r="I122">
        <v>428</v>
      </c>
      <c r="J122" t="s">
        <v>210</v>
      </c>
      <c r="K122">
        <v>8346996.6200000001</v>
      </c>
      <c r="L122">
        <v>3060950.03</v>
      </c>
      <c r="M122">
        <v>16.98</v>
      </c>
      <c r="N122" s="2">
        <v>45572</v>
      </c>
      <c r="O122" t="s">
        <v>199</v>
      </c>
      <c r="R122" t="s">
        <v>213</v>
      </c>
      <c r="S122">
        <v>721996485.46000004</v>
      </c>
      <c r="T122">
        <v>15.59</v>
      </c>
    </row>
    <row r="123" spans="4:20">
      <c r="D123" t="s">
        <v>127</v>
      </c>
      <c r="E123">
        <v>12</v>
      </c>
      <c r="H123" t="s">
        <v>275</v>
      </c>
      <c r="I123">
        <v>466</v>
      </c>
      <c r="J123" t="s">
        <v>216</v>
      </c>
      <c r="K123">
        <v>5937626.9100000001</v>
      </c>
      <c r="L123">
        <v>2943752.35</v>
      </c>
      <c r="M123">
        <v>24.16</v>
      </c>
      <c r="N123" s="2">
        <v>45499</v>
      </c>
      <c r="O123" t="s">
        <v>199</v>
      </c>
      <c r="R123" t="s">
        <v>211</v>
      </c>
      <c r="S123">
        <v>683503727.75</v>
      </c>
      <c r="T123">
        <v>14.76</v>
      </c>
    </row>
    <row r="124" spans="4:20">
      <c r="D124" t="s">
        <v>128</v>
      </c>
      <c r="E124">
        <v>20</v>
      </c>
      <c r="H124" t="s">
        <v>276</v>
      </c>
      <c r="I124">
        <v>295</v>
      </c>
      <c r="J124" t="s">
        <v>213</v>
      </c>
      <c r="K124">
        <v>7050721.5899999999</v>
      </c>
      <c r="L124">
        <v>2928726.14</v>
      </c>
      <c r="M124">
        <v>7.72</v>
      </c>
      <c r="N124" s="2">
        <v>52244</v>
      </c>
      <c r="O124" t="s">
        <v>199</v>
      </c>
      <c r="R124" t="s">
        <v>214</v>
      </c>
      <c r="S124">
        <v>677936839.66999996</v>
      </c>
      <c r="T124">
        <v>14.64</v>
      </c>
    </row>
    <row r="125" spans="4:20">
      <c r="H125" t="s">
        <v>277</v>
      </c>
      <c r="I125">
        <v>394</v>
      </c>
      <c r="J125" t="s">
        <v>216</v>
      </c>
      <c r="K125">
        <v>7022951.5499999998</v>
      </c>
      <c r="L125">
        <v>2885473.74</v>
      </c>
      <c r="M125">
        <v>11.99</v>
      </c>
      <c r="N125" s="2">
        <v>46434</v>
      </c>
      <c r="O125" t="s">
        <v>199</v>
      </c>
      <c r="R125" t="s">
        <v>215</v>
      </c>
      <c r="S125">
        <v>590601880.10000002</v>
      </c>
      <c r="T125">
        <v>12.75</v>
      </c>
    </row>
    <row r="126" spans="4:20">
      <c r="H126" t="s">
        <v>278</v>
      </c>
      <c r="I126">
        <v>1236</v>
      </c>
      <c r="J126" t="s">
        <v>212</v>
      </c>
      <c r="K126">
        <v>8859415.7799999993</v>
      </c>
      <c r="L126">
        <v>2604118.34</v>
      </c>
      <c r="M126">
        <v>7.6</v>
      </c>
      <c r="N126" s="2">
        <v>46290</v>
      </c>
      <c r="O126" t="s">
        <v>199</v>
      </c>
      <c r="R126" t="s">
        <v>216</v>
      </c>
      <c r="S126">
        <v>470508740.20999998</v>
      </c>
      <c r="T126">
        <v>10.16</v>
      </c>
    </row>
    <row r="127" spans="4:20">
      <c r="D127" t="s">
        <v>472</v>
      </c>
      <c r="E127" s="15">
        <f>I2</f>
        <v>3419163764.7600002</v>
      </c>
      <c r="H127" t="s">
        <v>279</v>
      </c>
      <c r="I127">
        <v>444</v>
      </c>
      <c r="J127" t="s">
        <v>211</v>
      </c>
      <c r="K127">
        <v>4818055.41</v>
      </c>
      <c r="L127">
        <v>2542025.17</v>
      </c>
      <c r="M127">
        <v>10.86</v>
      </c>
      <c r="N127" s="2">
        <v>44916</v>
      </c>
      <c r="O127" t="s">
        <v>199</v>
      </c>
    </row>
    <row r="128" spans="4:20">
      <c r="D128" s="1" t="s">
        <v>3</v>
      </c>
      <c r="E128" s="15">
        <v>4104809239.2399998</v>
      </c>
      <c r="H128" t="s">
        <v>280</v>
      </c>
      <c r="I128">
        <v>47</v>
      </c>
      <c r="J128" t="s">
        <v>214</v>
      </c>
      <c r="K128">
        <v>2923834.83</v>
      </c>
      <c r="L128">
        <v>2508772.89</v>
      </c>
      <c r="M128">
        <v>13.39</v>
      </c>
      <c r="N128" s="2">
        <v>43740</v>
      </c>
      <c r="O128" t="s">
        <v>199</v>
      </c>
    </row>
    <row r="129" spans="8:15">
      <c r="H129" t="s">
        <v>281</v>
      </c>
      <c r="I129">
        <v>1668</v>
      </c>
      <c r="J129" t="s">
        <v>216</v>
      </c>
      <c r="K129">
        <v>5782021.7999999998</v>
      </c>
      <c r="L129">
        <v>2377007.19</v>
      </c>
      <c r="M129">
        <v>13.81</v>
      </c>
      <c r="N129" s="2">
        <v>49597</v>
      </c>
      <c r="O129" t="s">
        <v>199</v>
      </c>
    </row>
    <row r="130" spans="8:15">
      <c r="H130" t="s">
        <v>282</v>
      </c>
      <c r="I130">
        <v>1632</v>
      </c>
      <c r="J130" t="s">
        <v>214</v>
      </c>
      <c r="K130">
        <v>2586886.64</v>
      </c>
      <c r="L130">
        <v>2307967.86</v>
      </c>
      <c r="M130">
        <v>6.33</v>
      </c>
      <c r="N130" s="2">
        <v>50435</v>
      </c>
      <c r="O130" t="s">
        <v>199</v>
      </c>
    </row>
    <row r="131" spans="8:15">
      <c r="H131" t="s">
        <v>283</v>
      </c>
      <c r="I131">
        <v>249</v>
      </c>
      <c r="J131" t="s">
        <v>216</v>
      </c>
      <c r="K131">
        <v>2319615.2200000002</v>
      </c>
      <c r="L131">
        <v>2159787.7000000002</v>
      </c>
      <c r="M131">
        <v>13.71</v>
      </c>
      <c r="N131" s="2">
        <v>43863</v>
      </c>
      <c r="O131" t="s">
        <v>199</v>
      </c>
    </row>
    <row r="132" spans="8:15">
      <c r="H132" t="s">
        <v>284</v>
      </c>
      <c r="I132">
        <v>1820</v>
      </c>
      <c r="J132" t="s">
        <v>210</v>
      </c>
      <c r="K132">
        <v>843337.8</v>
      </c>
      <c r="L132">
        <v>2133986.59</v>
      </c>
      <c r="M132">
        <v>18.87</v>
      </c>
      <c r="N132" s="2">
        <v>51802</v>
      </c>
      <c r="O132" t="s">
        <v>199</v>
      </c>
    </row>
    <row r="133" spans="8:15">
      <c r="H133" t="s">
        <v>285</v>
      </c>
      <c r="I133">
        <v>1311</v>
      </c>
      <c r="J133" t="s">
        <v>216</v>
      </c>
      <c r="K133">
        <v>4775107.83</v>
      </c>
      <c r="L133">
        <v>2106514.81</v>
      </c>
      <c r="M133">
        <v>22.15</v>
      </c>
      <c r="N133" s="2">
        <v>46872</v>
      </c>
      <c r="O133" t="s">
        <v>199</v>
      </c>
    </row>
    <row r="134" spans="8:15">
      <c r="H134" t="s">
        <v>286</v>
      </c>
      <c r="I134">
        <v>317</v>
      </c>
      <c r="J134" t="s">
        <v>216</v>
      </c>
      <c r="K134">
        <v>2362696.4900000002</v>
      </c>
      <c r="L134">
        <v>1890740.98</v>
      </c>
      <c r="M134">
        <v>27.09</v>
      </c>
      <c r="N134" s="2">
        <v>47383</v>
      </c>
      <c r="O134" t="s">
        <v>199</v>
      </c>
    </row>
    <row r="135" spans="8:15">
      <c r="H135" t="s">
        <v>287</v>
      </c>
      <c r="I135">
        <v>1140</v>
      </c>
      <c r="J135" t="s">
        <v>212</v>
      </c>
      <c r="K135">
        <v>4447518.1100000003</v>
      </c>
      <c r="L135">
        <v>1870552.06</v>
      </c>
      <c r="M135">
        <v>9.57</v>
      </c>
      <c r="N135" s="2">
        <v>45466</v>
      </c>
      <c r="O135" t="s">
        <v>199</v>
      </c>
    </row>
    <row r="136" spans="8:15">
      <c r="H136" t="s">
        <v>288</v>
      </c>
      <c r="I136">
        <v>118</v>
      </c>
      <c r="J136" t="s">
        <v>211</v>
      </c>
      <c r="K136">
        <v>3048331.79</v>
      </c>
      <c r="L136">
        <v>1677774.72</v>
      </c>
      <c r="M136">
        <v>27.78</v>
      </c>
      <c r="N136" s="2">
        <v>45324</v>
      </c>
      <c r="O136" t="s">
        <v>199</v>
      </c>
    </row>
    <row r="137" spans="8:15">
      <c r="H137" t="s">
        <v>289</v>
      </c>
      <c r="I137">
        <v>697</v>
      </c>
      <c r="J137" t="s">
        <v>213</v>
      </c>
      <c r="K137">
        <v>8513306.5500000007</v>
      </c>
      <c r="L137">
        <v>1594586.79</v>
      </c>
      <c r="M137">
        <v>13.16</v>
      </c>
      <c r="N137" s="2">
        <v>46514</v>
      </c>
      <c r="O137" t="s">
        <v>199</v>
      </c>
    </row>
    <row r="138" spans="8:15">
      <c r="H138" t="s">
        <v>290</v>
      </c>
      <c r="I138">
        <v>1158</v>
      </c>
      <c r="J138" t="s">
        <v>215</v>
      </c>
      <c r="K138">
        <v>4638396.96</v>
      </c>
      <c r="L138">
        <v>1573140.58</v>
      </c>
      <c r="M138">
        <v>23.27</v>
      </c>
      <c r="N138" s="2">
        <v>45196</v>
      </c>
      <c r="O138" t="s">
        <v>199</v>
      </c>
    </row>
    <row r="139" spans="8:15">
      <c r="H139" t="s">
        <v>291</v>
      </c>
      <c r="I139">
        <v>1249</v>
      </c>
      <c r="J139" t="s">
        <v>215</v>
      </c>
      <c r="K139">
        <v>609290.13</v>
      </c>
      <c r="L139">
        <v>1503084.17</v>
      </c>
      <c r="M139">
        <v>19.12</v>
      </c>
      <c r="N139" s="2">
        <v>52344</v>
      </c>
      <c r="O139" t="s">
        <v>199</v>
      </c>
    </row>
    <row r="140" spans="8:15">
      <c r="H140" t="s">
        <v>292</v>
      </c>
      <c r="I140">
        <v>387</v>
      </c>
      <c r="J140" t="s">
        <v>213</v>
      </c>
      <c r="K140">
        <v>1143274.83</v>
      </c>
      <c r="L140">
        <v>1484439.89</v>
      </c>
      <c r="M140">
        <v>19.190000000000001</v>
      </c>
      <c r="N140" s="2">
        <v>48420</v>
      </c>
      <c r="O140" t="s">
        <v>199</v>
      </c>
    </row>
    <row r="141" spans="8:15">
      <c r="H141" t="s">
        <v>293</v>
      </c>
      <c r="I141">
        <v>394</v>
      </c>
      <c r="J141" t="s">
        <v>211</v>
      </c>
      <c r="K141">
        <v>2080073.19</v>
      </c>
      <c r="L141">
        <v>1463703.01</v>
      </c>
      <c r="M141">
        <v>24.33</v>
      </c>
      <c r="N141" s="2">
        <v>45009</v>
      </c>
      <c r="O141" t="s">
        <v>199</v>
      </c>
    </row>
    <row r="142" spans="8:15">
      <c r="H142" t="s">
        <v>294</v>
      </c>
      <c r="I142">
        <v>1854</v>
      </c>
      <c r="J142" t="s">
        <v>214</v>
      </c>
      <c r="K142">
        <v>2116498.37</v>
      </c>
      <c r="L142">
        <v>1463676.86</v>
      </c>
      <c r="M142">
        <v>18.18</v>
      </c>
      <c r="N142" s="2">
        <v>44243</v>
      </c>
      <c r="O142" t="s">
        <v>199</v>
      </c>
    </row>
    <row r="143" spans="8:15">
      <c r="H143" t="s">
        <v>295</v>
      </c>
      <c r="I143">
        <v>185</v>
      </c>
      <c r="J143" t="s">
        <v>216</v>
      </c>
      <c r="K143">
        <v>2087036.64</v>
      </c>
      <c r="L143">
        <v>1414830.9</v>
      </c>
      <c r="M143">
        <v>18.739999999999998</v>
      </c>
      <c r="N143" s="2">
        <v>45458</v>
      </c>
      <c r="O143" t="s">
        <v>199</v>
      </c>
    </row>
    <row r="144" spans="8:15">
      <c r="H144" t="s">
        <v>296</v>
      </c>
      <c r="I144">
        <v>63</v>
      </c>
      <c r="J144" t="s">
        <v>215</v>
      </c>
      <c r="K144">
        <v>2245318.14</v>
      </c>
      <c r="L144">
        <v>1409819.07</v>
      </c>
      <c r="M144">
        <v>6.61</v>
      </c>
      <c r="N144" s="2">
        <v>45992</v>
      </c>
      <c r="O144" t="s">
        <v>199</v>
      </c>
    </row>
    <row r="145" spans="8:15">
      <c r="H145" t="s">
        <v>297</v>
      </c>
      <c r="I145">
        <v>1153</v>
      </c>
      <c r="J145" t="s">
        <v>211</v>
      </c>
      <c r="K145">
        <v>969955.66</v>
      </c>
      <c r="L145">
        <v>1302519.04</v>
      </c>
      <c r="M145">
        <v>4.62</v>
      </c>
      <c r="N145" s="2">
        <v>51281</v>
      </c>
      <c r="O145" t="s">
        <v>199</v>
      </c>
    </row>
    <row r="146" spans="8:15">
      <c r="H146" t="s">
        <v>298</v>
      </c>
      <c r="I146">
        <v>1598</v>
      </c>
      <c r="J146" t="s">
        <v>215</v>
      </c>
      <c r="K146">
        <v>2384421.89</v>
      </c>
      <c r="L146">
        <v>1158913.06</v>
      </c>
      <c r="M146">
        <v>9.4499999999999993</v>
      </c>
      <c r="N146" s="2">
        <v>47843</v>
      </c>
      <c r="O146" t="s">
        <v>199</v>
      </c>
    </row>
    <row r="147" spans="8:15">
      <c r="H147" t="s">
        <v>299</v>
      </c>
      <c r="I147">
        <v>816</v>
      </c>
      <c r="J147" t="s">
        <v>213</v>
      </c>
      <c r="K147">
        <v>352013.76</v>
      </c>
      <c r="L147">
        <v>1102663.81</v>
      </c>
      <c r="M147">
        <v>22.73</v>
      </c>
      <c r="N147" s="2">
        <v>52136</v>
      </c>
      <c r="O147" t="s">
        <v>199</v>
      </c>
    </row>
    <row r="148" spans="8:15">
      <c r="H148" t="s">
        <v>300</v>
      </c>
      <c r="I148">
        <v>456</v>
      </c>
      <c r="J148" t="s">
        <v>211</v>
      </c>
      <c r="K148">
        <v>925073.66</v>
      </c>
      <c r="L148">
        <v>1072123.0900000001</v>
      </c>
      <c r="M148">
        <v>15.02</v>
      </c>
      <c r="N148" s="2">
        <v>47510</v>
      </c>
      <c r="O148" t="s">
        <v>199</v>
      </c>
    </row>
    <row r="149" spans="8:15">
      <c r="H149" t="s">
        <v>301</v>
      </c>
      <c r="I149">
        <v>715</v>
      </c>
      <c r="J149" t="s">
        <v>214</v>
      </c>
      <c r="K149">
        <v>4182134.64</v>
      </c>
      <c r="L149">
        <v>1065451.33</v>
      </c>
      <c r="M149">
        <v>27.56</v>
      </c>
      <c r="N149" s="2">
        <v>45482</v>
      </c>
      <c r="O149" t="s">
        <v>199</v>
      </c>
    </row>
    <row r="150" spans="8:15">
      <c r="H150" t="s">
        <v>302</v>
      </c>
      <c r="I150">
        <v>1461</v>
      </c>
      <c r="J150" t="s">
        <v>216</v>
      </c>
      <c r="K150">
        <v>679317.96</v>
      </c>
      <c r="L150">
        <v>1058692.67</v>
      </c>
      <c r="M150">
        <v>18.05</v>
      </c>
      <c r="N150" s="2">
        <v>48061</v>
      </c>
      <c r="O150" t="s">
        <v>199</v>
      </c>
    </row>
    <row r="151" spans="8:15">
      <c r="H151" t="s">
        <v>303</v>
      </c>
      <c r="I151">
        <v>1434</v>
      </c>
      <c r="J151" t="s">
        <v>215</v>
      </c>
      <c r="K151">
        <v>4919438.83</v>
      </c>
      <c r="L151">
        <v>1005548.9</v>
      </c>
      <c r="M151">
        <v>23.49</v>
      </c>
      <c r="N151" s="2">
        <v>43799</v>
      </c>
      <c r="O151" t="s">
        <v>199</v>
      </c>
    </row>
    <row r="152" spans="8:15">
      <c r="H152" t="s">
        <v>304</v>
      </c>
      <c r="I152">
        <v>458</v>
      </c>
      <c r="J152" t="s">
        <v>216</v>
      </c>
      <c r="K152">
        <v>2978137.03</v>
      </c>
      <c r="L152">
        <v>989536.49</v>
      </c>
      <c r="M152">
        <v>5.31</v>
      </c>
      <c r="N152" s="2">
        <v>46350</v>
      </c>
      <c r="O152" t="s">
        <v>199</v>
      </c>
    </row>
    <row r="153" spans="8:15">
      <c r="H153" t="s">
        <v>305</v>
      </c>
      <c r="I153">
        <v>1379</v>
      </c>
      <c r="J153" t="s">
        <v>212</v>
      </c>
      <c r="K153">
        <v>272795.71000000002</v>
      </c>
      <c r="L153">
        <v>988318.88</v>
      </c>
      <c r="M153">
        <v>25.78</v>
      </c>
      <c r="N153" s="2">
        <v>50973</v>
      </c>
      <c r="O153" t="s">
        <v>199</v>
      </c>
    </row>
    <row r="154" spans="8:15">
      <c r="H154" t="s">
        <v>306</v>
      </c>
      <c r="I154">
        <v>1457</v>
      </c>
      <c r="J154" t="s">
        <v>211</v>
      </c>
      <c r="K154">
        <v>545220.78</v>
      </c>
      <c r="L154">
        <v>976881.34</v>
      </c>
      <c r="M154">
        <v>19.350000000000001</v>
      </c>
      <c r="N154" s="2">
        <v>47819</v>
      </c>
      <c r="O154" t="s">
        <v>199</v>
      </c>
    </row>
    <row r="155" spans="8:15">
      <c r="H155" t="s">
        <v>307</v>
      </c>
      <c r="I155">
        <v>637</v>
      </c>
      <c r="J155" t="s">
        <v>210</v>
      </c>
      <c r="K155">
        <v>1041907.25</v>
      </c>
      <c r="L155">
        <v>957840.67</v>
      </c>
      <c r="M155">
        <v>24.44</v>
      </c>
      <c r="N155" s="2">
        <v>44890</v>
      </c>
      <c r="O155" t="s">
        <v>199</v>
      </c>
    </row>
    <row r="156" spans="8:15">
      <c r="H156" t="s">
        <v>308</v>
      </c>
      <c r="I156">
        <v>79</v>
      </c>
      <c r="J156" t="s">
        <v>216</v>
      </c>
      <c r="K156">
        <v>903020.8</v>
      </c>
      <c r="L156">
        <v>946961.96</v>
      </c>
      <c r="M156">
        <v>16.46</v>
      </c>
      <c r="N156" s="2">
        <v>45629</v>
      </c>
      <c r="O156" t="s">
        <v>199</v>
      </c>
    </row>
    <row r="157" spans="8:15">
      <c r="H157" t="s">
        <v>309</v>
      </c>
      <c r="I157">
        <v>1502</v>
      </c>
      <c r="J157" t="s">
        <v>214</v>
      </c>
      <c r="K157">
        <v>456385.69</v>
      </c>
      <c r="L157">
        <v>912711.71</v>
      </c>
      <c r="M157">
        <v>27.31</v>
      </c>
      <c r="N157" s="2">
        <v>48246</v>
      </c>
      <c r="O157" t="s">
        <v>199</v>
      </c>
    </row>
    <row r="158" spans="8:15">
      <c r="H158" t="s">
        <v>310</v>
      </c>
      <c r="I158">
        <v>580</v>
      </c>
      <c r="J158" t="s">
        <v>211</v>
      </c>
      <c r="K158">
        <v>2429146.84</v>
      </c>
      <c r="L158">
        <v>821744.69</v>
      </c>
      <c r="M158">
        <v>16.75</v>
      </c>
      <c r="N158" s="2">
        <v>50570</v>
      </c>
      <c r="O158" t="s">
        <v>199</v>
      </c>
    </row>
    <row r="159" spans="8:15">
      <c r="H159" t="s">
        <v>311</v>
      </c>
      <c r="I159">
        <v>497</v>
      </c>
      <c r="J159" t="s">
        <v>213</v>
      </c>
      <c r="K159">
        <v>603412.38</v>
      </c>
      <c r="L159">
        <v>790760.05</v>
      </c>
      <c r="M159">
        <v>10.25</v>
      </c>
      <c r="N159" s="2">
        <v>47910</v>
      </c>
      <c r="O159" t="s">
        <v>199</v>
      </c>
    </row>
    <row r="160" spans="8:15">
      <c r="H160" t="s">
        <v>312</v>
      </c>
      <c r="I160">
        <v>287</v>
      </c>
      <c r="J160" t="s">
        <v>210</v>
      </c>
      <c r="K160">
        <v>557175.4</v>
      </c>
      <c r="L160">
        <v>785224.91</v>
      </c>
      <c r="M160">
        <v>8.68</v>
      </c>
      <c r="N160" s="2">
        <v>48740</v>
      </c>
      <c r="O160" t="s">
        <v>199</v>
      </c>
    </row>
    <row r="161" spans="8:15">
      <c r="H161" t="s">
        <v>313</v>
      </c>
      <c r="I161">
        <v>805</v>
      </c>
      <c r="J161" t="s">
        <v>215</v>
      </c>
      <c r="K161">
        <v>1172207.8400000001</v>
      </c>
      <c r="L161">
        <v>772672.6</v>
      </c>
      <c r="M161">
        <v>19.79</v>
      </c>
      <c r="N161" s="2">
        <v>45101</v>
      </c>
      <c r="O161" t="s">
        <v>199</v>
      </c>
    </row>
    <row r="162" spans="8:15">
      <c r="H162" t="s">
        <v>314</v>
      </c>
      <c r="I162">
        <v>12</v>
      </c>
      <c r="J162" t="s">
        <v>212</v>
      </c>
      <c r="K162">
        <v>724788.49</v>
      </c>
      <c r="L162">
        <v>754329.79</v>
      </c>
      <c r="M162">
        <v>25.93</v>
      </c>
      <c r="N162" s="2">
        <v>46027</v>
      </c>
      <c r="O162" t="s">
        <v>199</v>
      </c>
    </row>
    <row r="163" spans="8:15">
      <c r="H163" t="s">
        <v>315</v>
      </c>
      <c r="I163">
        <v>1981</v>
      </c>
      <c r="J163" t="s">
        <v>211</v>
      </c>
      <c r="K163">
        <v>1101060.1100000001</v>
      </c>
      <c r="L163">
        <v>751852.55</v>
      </c>
      <c r="M163">
        <v>9.91</v>
      </c>
      <c r="N163" s="2">
        <v>44798</v>
      </c>
      <c r="O163" t="s">
        <v>199</v>
      </c>
    </row>
    <row r="164" spans="8:15">
      <c r="H164" t="s">
        <v>316</v>
      </c>
      <c r="I164">
        <v>448</v>
      </c>
      <c r="J164" t="s">
        <v>212</v>
      </c>
      <c r="K164">
        <v>305217.62</v>
      </c>
      <c r="L164">
        <v>717430.15</v>
      </c>
      <c r="M164">
        <v>12.37</v>
      </c>
      <c r="N164" s="2">
        <v>51672</v>
      </c>
      <c r="O164" t="s">
        <v>199</v>
      </c>
    </row>
    <row r="165" spans="8:15">
      <c r="H165" t="s">
        <v>317</v>
      </c>
      <c r="I165">
        <v>329</v>
      </c>
      <c r="J165" t="s">
        <v>211</v>
      </c>
      <c r="K165">
        <v>2781491.21</v>
      </c>
      <c r="L165">
        <v>699828.19</v>
      </c>
      <c r="M165">
        <v>15.04</v>
      </c>
      <c r="N165" s="2">
        <v>47696</v>
      </c>
      <c r="O165" t="s">
        <v>199</v>
      </c>
    </row>
    <row r="166" spans="8:15">
      <c r="H166" t="s">
        <v>318</v>
      </c>
      <c r="I166">
        <v>1395</v>
      </c>
      <c r="J166" t="s">
        <v>214</v>
      </c>
      <c r="K166">
        <v>864012.4</v>
      </c>
      <c r="L166">
        <v>682911.06</v>
      </c>
      <c r="M166">
        <v>7.73</v>
      </c>
      <c r="N166" s="2">
        <v>46424</v>
      </c>
      <c r="O166" t="s">
        <v>199</v>
      </c>
    </row>
    <row r="167" spans="8:15">
      <c r="H167" t="s">
        <v>319</v>
      </c>
      <c r="I167">
        <v>578</v>
      </c>
      <c r="J167" t="s">
        <v>211</v>
      </c>
      <c r="K167">
        <v>670321.79</v>
      </c>
      <c r="L167">
        <v>624464.78</v>
      </c>
      <c r="M167">
        <v>6.4</v>
      </c>
      <c r="N167" s="2">
        <v>44835</v>
      </c>
      <c r="O167" t="s">
        <v>199</v>
      </c>
    </row>
    <row r="168" spans="8:15">
      <c r="H168" t="s">
        <v>320</v>
      </c>
      <c r="I168">
        <v>1044</v>
      </c>
      <c r="J168" t="s">
        <v>212</v>
      </c>
      <c r="K168">
        <v>565825.65</v>
      </c>
      <c r="L168">
        <v>619372.34</v>
      </c>
      <c r="M168">
        <v>11.95</v>
      </c>
      <c r="N168" s="2">
        <v>46625</v>
      </c>
      <c r="O168" t="s">
        <v>199</v>
      </c>
    </row>
    <row r="169" spans="8:15">
      <c r="H169" t="s">
        <v>321</v>
      </c>
      <c r="I169">
        <v>632</v>
      </c>
      <c r="J169" t="s">
        <v>213</v>
      </c>
      <c r="K169">
        <v>915865.01</v>
      </c>
      <c r="L169">
        <v>588290.1</v>
      </c>
      <c r="M169">
        <v>20.52</v>
      </c>
      <c r="N169" s="2">
        <v>44636</v>
      </c>
      <c r="O169" t="s">
        <v>199</v>
      </c>
    </row>
    <row r="170" spans="8:15">
      <c r="H170" t="s">
        <v>322</v>
      </c>
      <c r="I170">
        <v>1673</v>
      </c>
      <c r="J170" t="s">
        <v>213</v>
      </c>
      <c r="K170">
        <v>633537.12</v>
      </c>
      <c r="L170">
        <v>530375.07999999996</v>
      </c>
      <c r="M170">
        <v>27.32</v>
      </c>
      <c r="N170" s="2">
        <v>45810</v>
      </c>
      <c r="O170" t="s">
        <v>199</v>
      </c>
    </row>
    <row r="171" spans="8:15">
      <c r="H171" t="s">
        <v>323</v>
      </c>
      <c r="I171">
        <v>658</v>
      </c>
      <c r="J171" t="s">
        <v>213</v>
      </c>
      <c r="K171">
        <v>446519.25</v>
      </c>
      <c r="L171">
        <v>506034.81</v>
      </c>
      <c r="M171">
        <v>24.71</v>
      </c>
      <c r="N171" s="2">
        <v>48058</v>
      </c>
      <c r="O171" t="s">
        <v>199</v>
      </c>
    </row>
    <row r="172" spans="8:15">
      <c r="H172" t="s">
        <v>324</v>
      </c>
      <c r="I172">
        <v>1017</v>
      </c>
      <c r="J172" t="s">
        <v>216</v>
      </c>
      <c r="K172">
        <v>171515.91</v>
      </c>
      <c r="L172">
        <v>460069.18</v>
      </c>
      <c r="M172">
        <v>27.58</v>
      </c>
      <c r="N172" s="2">
        <v>49361</v>
      </c>
      <c r="O172" t="s">
        <v>199</v>
      </c>
    </row>
    <row r="173" spans="8:15">
      <c r="H173" t="s">
        <v>325</v>
      </c>
      <c r="I173">
        <v>775</v>
      </c>
      <c r="J173" t="s">
        <v>213</v>
      </c>
      <c r="K173">
        <v>443646.95</v>
      </c>
      <c r="L173">
        <v>455589.28</v>
      </c>
      <c r="M173">
        <v>5.65</v>
      </c>
      <c r="N173" s="2">
        <v>46096</v>
      </c>
      <c r="O173" t="s">
        <v>199</v>
      </c>
    </row>
    <row r="174" spans="8:15">
      <c r="H174" t="s">
        <v>326</v>
      </c>
      <c r="I174">
        <v>1583</v>
      </c>
      <c r="J174" t="s">
        <v>214</v>
      </c>
      <c r="K174">
        <v>486713.99</v>
      </c>
      <c r="L174">
        <v>411081.94</v>
      </c>
      <c r="M174">
        <v>7.59</v>
      </c>
      <c r="N174" s="2">
        <v>45449</v>
      </c>
      <c r="O174" t="s">
        <v>199</v>
      </c>
    </row>
    <row r="175" spans="8:15">
      <c r="H175" t="s">
        <v>327</v>
      </c>
      <c r="I175">
        <v>1814</v>
      </c>
      <c r="J175" t="s">
        <v>211</v>
      </c>
      <c r="K175">
        <v>2174598.54</v>
      </c>
      <c r="L175">
        <v>409868.65</v>
      </c>
      <c r="M175">
        <v>22.85</v>
      </c>
      <c r="N175" s="2">
        <v>46870</v>
      </c>
      <c r="O175" t="s">
        <v>199</v>
      </c>
    </row>
    <row r="176" spans="8:15">
      <c r="H176" t="s">
        <v>328</v>
      </c>
      <c r="I176">
        <v>1750</v>
      </c>
      <c r="J176" t="s">
        <v>213</v>
      </c>
      <c r="K176">
        <v>1144787.75</v>
      </c>
      <c r="L176">
        <v>405104.79</v>
      </c>
      <c r="M176">
        <v>16.559999999999999</v>
      </c>
      <c r="N176" s="2">
        <v>47214</v>
      </c>
      <c r="O176" t="s">
        <v>199</v>
      </c>
    </row>
    <row r="177" spans="8:15">
      <c r="H177" t="s">
        <v>329</v>
      </c>
      <c r="I177">
        <v>832</v>
      </c>
      <c r="J177" t="s">
        <v>216</v>
      </c>
      <c r="K177">
        <v>427767.8</v>
      </c>
      <c r="L177">
        <v>396292.21</v>
      </c>
      <c r="M177">
        <v>6.2</v>
      </c>
      <c r="N177" s="2">
        <v>45139</v>
      </c>
      <c r="O177" t="s">
        <v>199</v>
      </c>
    </row>
    <row r="178" spans="8:15">
      <c r="H178" t="s">
        <v>330</v>
      </c>
      <c r="I178">
        <v>1025</v>
      </c>
      <c r="J178" t="s">
        <v>212</v>
      </c>
      <c r="K178">
        <v>536981.87</v>
      </c>
      <c r="L178">
        <v>385308.74</v>
      </c>
      <c r="M178">
        <v>6.01</v>
      </c>
      <c r="N178" s="2">
        <v>44290</v>
      </c>
      <c r="O178" t="s">
        <v>199</v>
      </c>
    </row>
    <row r="179" spans="8:15">
      <c r="H179" t="s">
        <v>331</v>
      </c>
      <c r="I179">
        <v>262</v>
      </c>
      <c r="J179" t="s">
        <v>212</v>
      </c>
      <c r="K179">
        <v>159064.17000000001</v>
      </c>
      <c r="L179">
        <v>378546.84</v>
      </c>
      <c r="M179">
        <v>19.64</v>
      </c>
      <c r="N179" s="2">
        <v>51286</v>
      </c>
      <c r="O179" t="s">
        <v>199</v>
      </c>
    </row>
    <row r="180" spans="8:15">
      <c r="H180" t="s">
        <v>332</v>
      </c>
      <c r="I180">
        <v>1444</v>
      </c>
      <c r="J180" t="s">
        <v>213</v>
      </c>
      <c r="K180">
        <v>278369.64</v>
      </c>
      <c r="L180">
        <v>372889.1</v>
      </c>
      <c r="M180">
        <v>15.32</v>
      </c>
      <c r="N180" s="2">
        <v>52586</v>
      </c>
      <c r="O180" t="s">
        <v>199</v>
      </c>
    </row>
    <row r="181" spans="8:15">
      <c r="H181" t="s">
        <v>333</v>
      </c>
      <c r="I181">
        <v>1675</v>
      </c>
      <c r="J181" t="s">
        <v>216</v>
      </c>
      <c r="K181">
        <v>372192.1</v>
      </c>
      <c r="L181">
        <v>359383.78</v>
      </c>
      <c r="M181">
        <v>24.08</v>
      </c>
      <c r="N181" s="2">
        <v>44634</v>
      </c>
      <c r="O181" t="s">
        <v>199</v>
      </c>
    </row>
    <row r="182" spans="8:15">
      <c r="H182" t="s">
        <v>334</v>
      </c>
      <c r="I182">
        <v>1751</v>
      </c>
      <c r="J182" t="s">
        <v>210</v>
      </c>
      <c r="K182">
        <v>544574.91</v>
      </c>
      <c r="L182">
        <v>353929.3</v>
      </c>
      <c r="M182">
        <v>21.6</v>
      </c>
      <c r="N182" s="2">
        <v>45826</v>
      </c>
      <c r="O182" t="s">
        <v>199</v>
      </c>
    </row>
    <row r="183" spans="8:15">
      <c r="H183" t="s">
        <v>335</v>
      </c>
      <c r="I183">
        <v>1563</v>
      </c>
      <c r="J183" t="s">
        <v>211</v>
      </c>
      <c r="K183">
        <v>154620.67000000001</v>
      </c>
      <c r="L183">
        <v>347257.51</v>
      </c>
      <c r="M183">
        <v>26.64</v>
      </c>
      <c r="N183" s="2">
        <v>49543</v>
      </c>
      <c r="O183" t="s">
        <v>199</v>
      </c>
    </row>
    <row r="184" spans="8:15">
      <c r="H184" t="s">
        <v>336</v>
      </c>
      <c r="I184">
        <v>1157</v>
      </c>
      <c r="J184" t="s">
        <v>216</v>
      </c>
      <c r="K184">
        <v>804056.87</v>
      </c>
      <c r="L184">
        <v>345373.03</v>
      </c>
      <c r="M184">
        <v>9.5500000000000007</v>
      </c>
      <c r="N184" s="2">
        <v>48174</v>
      </c>
      <c r="O184" t="s">
        <v>199</v>
      </c>
    </row>
    <row r="185" spans="8:15">
      <c r="H185" t="s">
        <v>337</v>
      </c>
      <c r="I185">
        <v>1766</v>
      </c>
      <c r="J185" t="s">
        <v>210</v>
      </c>
      <c r="K185">
        <v>804794.94</v>
      </c>
      <c r="L185">
        <v>344489.14</v>
      </c>
      <c r="M185">
        <v>26.99</v>
      </c>
      <c r="N185" s="2">
        <v>49915</v>
      </c>
      <c r="O185" t="s">
        <v>199</v>
      </c>
    </row>
    <row r="186" spans="8:15">
      <c r="H186" t="s">
        <v>338</v>
      </c>
      <c r="I186">
        <v>56</v>
      </c>
      <c r="J186" t="s">
        <v>214</v>
      </c>
      <c r="K186">
        <v>801500.21</v>
      </c>
      <c r="L186">
        <v>341991.03</v>
      </c>
      <c r="M186">
        <v>10.85</v>
      </c>
      <c r="N186" s="2">
        <v>46423</v>
      </c>
      <c r="O186" t="s">
        <v>199</v>
      </c>
    </row>
    <row r="187" spans="8:15">
      <c r="H187" t="s">
        <v>339</v>
      </c>
      <c r="I187">
        <v>491</v>
      </c>
      <c r="J187" t="s">
        <v>215</v>
      </c>
      <c r="K187">
        <v>368226.69</v>
      </c>
      <c r="L187">
        <v>337580.84</v>
      </c>
      <c r="M187">
        <v>11.81</v>
      </c>
      <c r="N187" s="2">
        <v>44284</v>
      </c>
      <c r="O187" t="s">
        <v>199</v>
      </c>
    </row>
    <row r="188" spans="8:15">
      <c r="H188" t="s">
        <v>340</v>
      </c>
      <c r="I188">
        <v>1438</v>
      </c>
      <c r="J188" t="s">
        <v>215</v>
      </c>
      <c r="K188">
        <v>2607891.2799999998</v>
      </c>
      <c r="L188">
        <v>336251.85</v>
      </c>
      <c r="M188">
        <v>8.17</v>
      </c>
      <c r="N188" s="2">
        <v>44671</v>
      </c>
      <c r="O188" t="s">
        <v>199</v>
      </c>
    </row>
    <row r="189" spans="8:15">
      <c r="H189" t="s">
        <v>341</v>
      </c>
      <c r="I189">
        <v>679</v>
      </c>
      <c r="J189" t="s">
        <v>214</v>
      </c>
      <c r="K189">
        <v>429951.68</v>
      </c>
      <c r="L189">
        <v>328631.27</v>
      </c>
      <c r="M189">
        <v>8.74</v>
      </c>
      <c r="N189" s="2">
        <v>44717</v>
      </c>
      <c r="O189" t="s">
        <v>199</v>
      </c>
    </row>
    <row r="190" spans="8:15">
      <c r="H190" t="s">
        <v>342</v>
      </c>
      <c r="I190">
        <v>222</v>
      </c>
      <c r="J190" t="s">
        <v>211</v>
      </c>
      <c r="K190">
        <v>291818.34000000003</v>
      </c>
      <c r="L190">
        <v>317437.95</v>
      </c>
      <c r="M190">
        <v>25.06</v>
      </c>
      <c r="N190" s="2">
        <v>44816</v>
      </c>
      <c r="O190" t="s">
        <v>199</v>
      </c>
    </row>
    <row r="191" spans="8:15">
      <c r="H191" t="s">
        <v>343</v>
      </c>
      <c r="I191">
        <v>238</v>
      </c>
      <c r="J191" t="s">
        <v>213</v>
      </c>
      <c r="K191">
        <v>952078.54</v>
      </c>
      <c r="L191">
        <v>314996.47999999998</v>
      </c>
      <c r="M191">
        <v>8.69</v>
      </c>
      <c r="N191" s="2">
        <v>45390</v>
      </c>
      <c r="O191" t="s">
        <v>199</v>
      </c>
    </row>
    <row r="192" spans="8:15">
      <c r="H192" t="s">
        <v>344</v>
      </c>
      <c r="I192">
        <v>1170</v>
      </c>
      <c r="J192" t="s">
        <v>212</v>
      </c>
      <c r="K192">
        <v>319790.90999999997</v>
      </c>
      <c r="L192">
        <v>303272.84000000003</v>
      </c>
      <c r="M192">
        <v>25.07</v>
      </c>
      <c r="N192" s="2">
        <v>48459</v>
      </c>
      <c r="O192" t="s">
        <v>199</v>
      </c>
    </row>
    <row r="193" spans="8:15">
      <c r="H193" t="s">
        <v>345</v>
      </c>
      <c r="I193">
        <v>267</v>
      </c>
      <c r="J193" t="s">
        <v>212</v>
      </c>
      <c r="K193">
        <v>577863.38</v>
      </c>
      <c r="L193">
        <v>296015.67</v>
      </c>
      <c r="M193">
        <v>13.71</v>
      </c>
      <c r="N193" s="2">
        <v>49541</v>
      </c>
      <c r="O193" t="s">
        <v>199</v>
      </c>
    </row>
    <row r="194" spans="8:15">
      <c r="H194" t="s">
        <v>346</v>
      </c>
      <c r="I194">
        <v>833</v>
      </c>
      <c r="J194" t="s">
        <v>210</v>
      </c>
      <c r="K194">
        <v>877605.74</v>
      </c>
      <c r="L194">
        <v>245050.16</v>
      </c>
      <c r="M194">
        <v>11.12</v>
      </c>
      <c r="N194" s="2">
        <v>45364</v>
      </c>
      <c r="O194" t="s">
        <v>199</v>
      </c>
    </row>
    <row r="195" spans="8:15">
      <c r="H195" t="s">
        <v>347</v>
      </c>
      <c r="I195">
        <v>161</v>
      </c>
      <c r="J195" t="s">
        <v>214</v>
      </c>
      <c r="K195">
        <v>265710.19</v>
      </c>
      <c r="L195">
        <v>217854.75</v>
      </c>
      <c r="M195">
        <v>16.940000000000001</v>
      </c>
      <c r="N195" s="2">
        <v>46470</v>
      </c>
      <c r="O195" t="s">
        <v>199</v>
      </c>
    </row>
    <row r="196" spans="8:15">
      <c r="H196" t="s">
        <v>348</v>
      </c>
      <c r="I196">
        <v>564</v>
      </c>
      <c r="J196" t="s">
        <v>215</v>
      </c>
      <c r="K196">
        <v>794413.77</v>
      </c>
      <c r="L196">
        <v>213471.9</v>
      </c>
      <c r="M196">
        <v>22.89</v>
      </c>
      <c r="N196" s="2">
        <v>45725</v>
      </c>
      <c r="O196" t="s">
        <v>199</v>
      </c>
    </row>
    <row r="197" spans="8:15">
      <c r="H197" t="s">
        <v>349</v>
      </c>
      <c r="I197">
        <v>626</v>
      </c>
      <c r="J197" t="s">
        <v>211</v>
      </c>
      <c r="K197">
        <v>182987.58</v>
      </c>
      <c r="L197">
        <v>198391.69</v>
      </c>
      <c r="M197">
        <v>6.51</v>
      </c>
      <c r="N197" s="2">
        <v>45487</v>
      </c>
      <c r="O197" t="s">
        <v>199</v>
      </c>
    </row>
    <row r="198" spans="8:15">
      <c r="H198" t="s">
        <v>350</v>
      </c>
      <c r="I198">
        <v>729</v>
      </c>
      <c r="J198" t="s">
        <v>214</v>
      </c>
      <c r="K198">
        <v>532731.52</v>
      </c>
      <c r="L198">
        <v>189931.61</v>
      </c>
      <c r="M198">
        <v>23.82</v>
      </c>
      <c r="N198" s="2">
        <v>45952</v>
      </c>
      <c r="O198" t="s">
        <v>199</v>
      </c>
    </row>
    <row r="199" spans="8:15">
      <c r="H199" t="s">
        <v>351</v>
      </c>
      <c r="I199">
        <v>11</v>
      </c>
      <c r="J199" t="s">
        <v>213</v>
      </c>
      <c r="K199">
        <v>316987.90999999997</v>
      </c>
      <c r="L199">
        <v>187780.57</v>
      </c>
      <c r="M199">
        <v>11.85</v>
      </c>
      <c r="N199" s="2">
        <v>45337</v>
      </c>
      <c r="O199" t="s">
        <v>199</v>
      </c>
    </row>
    <row r="200" spans="8:15">
      <c r="H200" t="s">
        <v>352</v>
      </c>
      <c r="I200">
        <v>1187</v>
      </c>
      <c r="J200" t="s">
        <v>210</v>
      </c>
      <c r="K200">
        <v>554317.06999999995</v>
      </c>
      <c r="L200">
        <v>184362.77</v>
      </c>
      <c r="M200">
        <v>23.41</v>
      </c>
      <c r="N200" s="2">
        <v>45457</v>
      </c>
      <c r="O200" t="s">
        <v>199</v>
      </c>
    </row>
    <row r="201" spans="8:15">
      <c r="H201" t="s">
        <v>353</v>
      </c>
      <c r="I201">
        <v>1932</v>
      </c>
      <c r="J201" t="s">
        <v>213</v>
      </c>
      <c r="K201">
        <v>187104.62</v>
      </c>
      <c r="L201">
        <v>180291.27</v>
      </c>
      <c r="M201">
        <v>25.32</v>
      </c>
      <c r="N201" s="2">
        <v>45732</v>
      </c>
      <c r="O201" t="s">
        <v>199</v>
      </c>
    </row>
    <row r="202" spans="8:15">
      <c r="H202" t="s">
        <v>354</v>
      </c>
      <c r="I202">
        <v>510</v>
      </c>
      <c r="J202" t="s">
        <v>213</v>
      </c>
      <c r="K202">
        <v>178906.81</v>
      </c>
      <c r="L202">
        <v>177467.48</v>
      </c>
      <c r="M202">
        <v>25.58</v>
      </c>
      <c r="N202" s="2">
        <v>47457</v>
      </c>
      <c r="O202" t="s">
        <v>199</v>
      </c>
    </row>
    <row r="203" spans="8:15">
      <c r="H203" t="s">
        <v>355</v>
      </c>
      <c r="I203">
        <v>405</v>
      </c>
      <c r="J203" t="s">
        <v>214</v>
      </c>
      <c r="K203">
        <v>316284.53999999998</v>
      </c>
      <c r="L203">
        <v>176793.34</v>
      </c>
      <c r="M203">
        <v>17.04</v>
      </c>
      <c r="N203" s="2">
        <v>49858</v>
      </c>
      <c r="O203" t="s">
        <v>199</v>
      </c>
    </row>
    <row r="204" spans="8:15">
      <c r="H204" t="s">
        <v>356</v>
      </c>
      <c r="I204">
        <v>1779</v>
      </c>
      <c r="J204" t="s">
        <v>210</v>
      </c>
      <c r="K204">
        <v>258056.13</v>
      </c>
      <c r="L204">
        <v>176199.67</v>
      </c>
      <c r="M204">
        <v>21.2</v>
      </c>
      <c r="N204" s="2">
        <v>46562</v>
      </c>
      <c r="O204" t="s">
        <v>199</v>
      </c>
    </row>
    <row r="205" spans="8:15">
      <c r="H205" t="s">
        <v>357</v>
      </c>
      <c r="I205">
        <v>11</v>
      </c>
      <c r="J205" t="s">
        <v>213</v>
      </c>
      <c r="K205">
        <v>172783.6</v>
      </c>
      <c r="L205">
        <v>175056.88</v>
      </c>
      <c r="M205">
        <v>7.38</v>
      </c>
      <c r="N205" s="2">
        <v>46449</v>
      </c>
      <c r="O205" t="s">
        <v>199</v>
      </c>
    </row>
    <row r="206" spans="8:15">
      <c r="H206" t="s">
        <v>358</v>
      </c>
      <c r="I206">
        <v>1647</v>
      </c>
      <c r="J206" t="s">
        <v>215</v>
      </c>
      <c r="K206">
        <v>134979.04</v>
      </c>
      <c r="L206">
        <v>170553.45</v>
      </c>
      <c r="M206">
        <v>24.76</v>
      </c>
      <c r="N206" s="2">
        <v>47800</v>
      </c>
      <c r="O206" t="s">
        <v>199</v>
      </c>
    </row>
    <row r="207" spans="8:15">
      <c r="H207" t="s">
        <v>359</v>
      </c>
      <c r="I207">
        <v>823</v>
      </c>
      <c r="J207" t="s">
        <v>215</v>
      </c>
      <c r="K207">
        <v>185615.4</v>
      </c>
      <c r="L207">
        <v>138007.76999999999</v>
      </c>
      <c r="M207">
        <v>14.05</v>
      </c>
      <c r="N207" s="2">
        <v>48150</v>
      </c>
      <c r="O207" t="s">
        <v>199</v>
      </c>
    </row>
    <row r="208" spans="8:15">
      <c r="H208" t="s">
        <v>360</v>
      </c>
      <c r="I208">
        <v>1903</v>
      </c>
      <c r="J208" t="s">
        <v>214</v>
      </c>
      <c r="K208">
        <v>372611.87</v>
      </c>
      <c r="L208">
        <v>136961.10999999999</v>
      </c>
      <c r="M208">
        <v>26.6</v>
      </c>
      <c r="N208" s="2">
        <v>47751</v>
      </c>
      <c r="O208" t="s">
        <v>199</v>
      </c>
    </row>
    <row r="209" spans="8:15">
      <c r="H209" t="s">
        <v>361</v>
      </c>
      <c r="I209">
        <v>500</v>
      </c>
      <c r="J209" t="s">
        <v>210</v>
      </c>
      <c r="K209">
        <v>174370.56</v>
      </c>
      <c r="L209">
        <v>136811.43</v>
      </c>
      <c r="M209">
        <v>20.309999999999999</v>
      </c>
      <c r="N209" s="2">
        <v>46553</v>
      </c>
      <c r="O209" t="s">
        <v>199</v>
      </c>
    </row>
    <row r="210" spans="8:15">
      <c r="H210" t="s">
        <v>362</v>
      </c>
      <c r="I210">
        <v>1797</v>
      </c>
      <c r="J210" t="s">
        <v>211</v>
      </c>
      <c r="K210">
        <v>149847.51</v>
      </c>
      <c r="L210">
        <v>131346.07</v>
      </c>
      <c r="M210">
        <v>16.97</v>
      </c>
      <c r="N210" s="2">
        <v>44886</v>
      </c>
      <c r="O210" t="s">
        <v>199</v>
      </c>
    </row>
    <row r="211" spans="8:15">
      <c r="H211" t="s">
        <v>363</v>
      </c>
      <c r="I211">
        <v>1355</v>
      </c>
      <c r="J211" t="s">
        <v>211</v>
      </c>
      <c r="K211">
        <v>331279.13</v>
      </c>
      <c r="L211">
        <v>130556.62</v>
      </c>
      <c r="M211">
        <v>27.04</v>
      </c>
      <c r="N211" s="2">
        <v>44336</v>
      </c>
      <c r="O211" t="s">
        <v>199</v>
      </c>
    </row>
    <row r="212" spans="8:15">
      <c r="H212" t="s">
        <v>364</v>
      </c>
      <c r="I212">
        <v>1240</v>
      </c>
      <c r="J212" t="s">
        <v>214</v>
      </c>
      <c r="K212">
        <v>273939.36</v>
      </c>
      <c r="L212">
        <v>125217.99</v>
      </c>
      <c r="M212">
        <v>25.31</v>
      </c>
      <c r="N212" s="2">
        <v>45923</v>
      </c>
      <c r="O212" t="s">
        <v>199</v>
      </c>
    </row>
    <row r="213" spans="8:15">
      <c r="H213" t="s">
        <v>365</v>
      </c>
      <c r="I213">
        <v>1558</v>
      </c>
      <c r="J213" t="s">
        <v>215</v>
      </c>
      <c r="K213">
        <v>130497.88</v>
      </c>
      <c r="L213">
        <v>123416.77</v>
      </c>
      <c r="M213">
        <v>9.19</v>
      </c>
      <c r="N213" s="2">
        <v>45983</v>
      </c>
      <c r="O213" t="s">
        <v>199</v>
      </c>
    </row>
    <row r="214" spans="8:15">
      <c r="H214" t="s">
        <v>366</v>
      </c>
      <c r="I214">
        <v>1408</v>
      </c>
      <c r="J214" t="s">
        <v>213</v>
      </c>
      <c r="K214">
        <v>168333.05</v>
      </c>
      <c r="L214">
        <v>119587.9</v>
      </c>
      <c r="M214">
        <v>21.59</v>
      </c>
      <c r="N214" s="2">
        <v>49833</v>
      </c>
      <c r="O214" t="s">
        <v>199</v>
      </c>
    </row>
    <row r="215" spans="8:15">
      <c r="H215" t="s">
        <v>367</v>
      </c>
      <c r="I215">
        <v>1287</v>
      </c>
      <c r="J215" t="s">
        <v>213</v>
      </c>
      <c r="K215">
        <v>177091.51</v>
      </c>
      <c r="L215">
        <v>118044.31</v>
      </c>
      <c r="M215">
        <v>27.64</v>
      </c>
      <c r="N215" s="2">
        <v>43851</v>
      </c>
      <c r="O215" t="s">
        <v>199</v>
      </c>
    </row>
    <row r="216" spans="8:15">
      <c r="H216" t="s">
        <v>368</v>
      </c>
      <c r="I216">
        <v>1006</v>
      </c>
      <c r="J216" t="s">
        <v>212</v>
      </c>
      <c r="K216">
        <v>281131.25</v>
      </c>
      <c r="L216">
        <v>111009.12</v>
      </c>
      <c r="M216">
        <v>21.54</v>
      </c>
      <c r="N216" s="2">
        <v>44541</v>
      </c>
      <c r="O216" t="s">
        <v>199</v>
      </c>
    </row>
    <row r="217" spans="8:15">
      <c r="H217" t="s">
        <v>369</v>
      </c>
      <c r="I217">
        <v>850</v>
      </c>
      <c r="J217" t="s">
        <v>216</v>
      </c>
      <c r="K217">
        <v>440630.02</v>
      </c>
      <c r="L217">
        <v>108587.02</v>
      </c>
      <c r="M217">
        <v>10.199999999999999</v>
      </c>
      <c r="N217" s="2">
        <v>45579</v>
      </c>
      <c r="O217" t="s">
        <v>199</v>
      </c>
    </row>
    <row r="218" spans="8:15">
      <c r="H218" t="s">
        <v>370</v>
      </c>
      <c r="I218">
        <v>1634</v>
      </c>
      <c r="J218" t="s">
        <v>212</v>
      </c>
      <c r="K218">
        <v>808232.23</v>
      </c>
      <c r="L218">
        <v>104193.67</v>
      </c>
      <c r="M218">
        <v>14.02</v>
      </c>
      <c r="N218" s="2">
        <v>45161</v>
      </c>
      <c r="O218" t="s">
        <v>199</v>
      </c>
    </row>
    <row r="219" spans="8:15">
      <c r="H219" t="s">
        <v>371</v>
      </c>
      <c r="I219">
        <v>48</v>
      </c>
      <c r="J219" t="s">
        <v>211</v>
      </c>
      <c r="K219">
        <v>658771.74</v>
      </c>
      <c r="L219">
        <v>78809.86</v>
      </c>
      <c r="M219">
        <v>5.77</v>
      </c>
      <c r="N219" s="2">
        <v>45609</v>
      </c>
      <c r="O219" t="s">
        <v>199</v>
      </c>
    </row>
    <row r="220" spans="8:15">
      <c r="H220" t="s">
        <v>372</v>
      </c>
      <c r="I220">
        <v>468</v>
      </c>
      <c r="J220" t="s">
        <v>216</v>
      </c>
      <c r="K220">
        <v>126033.59</v>
      </c>
      <c r="L220">
        <v>76754.95</v>
      </c>
      <c r="M220">
        <v>22.52</v>
      </c>
      <c r="N220" s="2">
        <v>50337</v>
      </c>
      <c r="O220" t="s">
        <v>199</v>
      </c>
    </row>
    <row r="221" spans="8:15">
      <c r="H221" t="s">
        <v>373</v>
      </c>
      <c r="I221">
        <v>967</v>
      </c>
      <c r="J221" t="s">
        <v>215</v>
      </c>
      <c r="K221">
        <v>131521.37</v>
      </c>
      <c r="L221">
        <v>70349.91</v>
      </c>
      <c r="M221">
        <v>24.12</v>
      </c>
      <c r="N221" s="2">
        <v>44332</v>
      </c>
      <c r="O221" t="s">
        <v>199</v>
      </c>
    </row>
    <row r="222" spans="8:15">
      <c r="H222" t="s">
        <v>374</v>
      </c>
      <c r="I222">
        <v>1056</v>
      </c>
      <c r="J222" t="s">
        <v>210</v>
      </c>
      <c r="K222">
        <v>174127.59</v>
      </c>
      <c r="L222">
        <v>63088.24</v>
      </c>
      <c r="M222">
        <v>11.41</v>
      </c>
      <c r="N222" s="2">
        <v>44064</v>
      </c>
      <c r="O222" t="s">
        <v>199</v>
      </c>
    </row>
    <row r="223" spans="8:15">
      <c r="H223" t="s">
        <v>375</v>
      </c>
      <c r="I223">
        <v>1111</v>
      </c>
      <c r="J223" t="s">
        <v>210</v>
      </c>
      <c r="K223">
        <v>120532.95</v>
      </c>
      <c r="L223">
        <v>59906.46</v>
      </c>
      <c r="M223">
        <v>15.38</v>
      </c>
      <c r="N223" s="2">
        <v>49447</v>
      </c>
      <c r="O223" t="s">
        <v>199</v>
      </c>
    </row>
    <row r="224" spans="8:15">
      <c r="H224" t="s">
        <v>376</v>
      </c>
      <c r="I224">
        <v>232</v>
      </c>
      <c r="J224" t="s">
        <v>213</v>
      </c>
      <c r="K224">
        <v>318639.90999999997</v>
      </c>
      <c r="L224">
        <v>57679.09</v>
      </c>
      <c r="M224">
        <v>18.29</v>
      </c>
      <c r="N224" s="2">
        <v>47090</v>
      </c>
      <c r="O224" t="s">
        <v>199</v>
      </c>
    </row>
    <row r="225" spans="1:15">
      <c r="H225" t="s">
        <v>377</v>
      </c>
      <c r="I225">
        <v>849</v>
      </c>
      <c r="J225" t="s">
        <v>211</v>
      </c>
      <c r="K225">
        <v>305544.36</v>
      </c>
      <c r="L225">
        <v>54654.77</v>
      </c>
      <c r="M225">
        <v>4.71</v>
      </c>
      <c r="N225" s="2">
        <v>49336</v>
      </c>
      <c r="O225" t="s">
        <v>199</v>
      </c>
    </row>
    <row r="226" spans="1:15">
      <c r="H226" t="s">
        <v>378</v>
      </c>
      <c r="I226">
        <v>560</v>
      </c>
      <c r="J226" t="s">
        <v>210</v>
      </c>
      <c r="K226">
        <v>128989.8</v>
      </c>
      <c r="L226">
        <v>48803.76</v>
      </c>
      <c r="M226">
        <v>11.54</v>
      </c>
      <c r="N226" s="2">
        <v>46351</v>
      </c>
      <c r="O226" t="s">
        <v>199</v>
      </c>
    </row>
    <row r="227" spans="1:15">
      <c r="H227" t="s">
        <v>379</v>
      </c>
      <c r="I227">
        <v>1439</v>
      </c>
      <c r="J227" t="s">
        <v>211</v>
      </c>
      <c r="K227">
        <v>174276.9</v>
      </c>
      <c r="L227">
        <v>45511.03</v>
      </c>
      <c r="M227">
        <v>15.26</v>
      </c>
      <c r="N227" s="2">
        <v>49708</v>
      </c>
      <c r="O227" t="s">
        <v>199</v>
      </c>
    </row>
    <row r="228" spans="1:15">
      <c r="H228" t="s">
        <v>380</v>
      </c>
      <c r="I228">
        <v>62</v>
      </c>
      <c r="J228" t="s">
        <v>210</v>
      </c>
      <c r="K228">
        <v>179041.19</v>
      </c>
      <c r="L228">
        <v>45328.87</v>
      </c>
      <c r="M228">
        <v>19.3</v>
      </c>
      <c r="N228" s="2">
        <v>45984</v>
      </c>
      <c r="O228" t="s">
        <v>199</v>
      </c>
    </row>
    <row r="229" spans="1:15">
      <c r="H229" t="s">
        <v>381</v>
      </c>
      <c r="I229">
        <v>946</v>
      </c>
      <c r="J229" t="s">
        <v>213</v>
      </c>
      <c r="K229">
        <v>163818.04</v>
      </c>
      <c r="L229">
        <v>41486.36</v>
      </c>
      <c r="M229">
        <v>15.44</v>
      </c>
      <c r="N229" s="2">
        <v>43932</v>
      </c>
      <c r="O229" t="s">
        <v>199</v>
      </c>
    </row>
    <row r="230" spans="1:15">
      <c r="H230" t="s">
        <v>382</v>
      </c>
      <c r="I230">
        <v>52</v>
      </c>
      <c r="J230" t="s">
        <v>212</v>
      </c>
      <c r="K230">
        <v>145147.5</v>
      </c>
      <c r="L230">
        <v>35681.86</v>
      </c>
      <c r="M230">
        <v>16.29</v>
      </c>
      <c r="N230" s="2">
        <v>45546</v>
      </c>
      <c r="O230" t="s">
        <v>199</v>
      </c>
    </row>
    <row r="231" spans="1:15">
      <c r="H231" t="s">
        <v>383</v>
      </c>
      <c r="I231">
        <v>255</v>
      </c>
      <c r="J231" t="s">
        <v>215</v>
      </c>
      <c r="K231">
        <v>127252.64</v>
      </c>
      <c r="L231">
        <v>29533.439999999999</v>
      </c>
      <c r="M231">
        <v>18.079999999999998</v>
      </c>
      <c r="N231" s="2">
        <v>46758</v>
      </c>
      <c r="O231" t="s">
        <v>199</v>
      </c>
    </row>
    <row r="232" spans="1:15">
      <c r="H232" t="s">
        <v>384</v>
      </c>
      <c r="I232">
        <v>490</v>
      </c>
      <c r="J232" t="s">
        <v>214</v>
      </c>
      <c r="K232">
        <v>153675.74</v>
      </c>
      <c r="L232">
        <v>26429.5</v>
      </c>
      <c r="M232">
        <v>11.91</v>
      </c>
      <c r="N232" s="2">
        <v>45104</v>
      </c>
      <c r="O232" t="s">
        <v>199</v>
      </c>
    </row>
    <row r="233" spans="1:15">
      <c r="H233" t="s">
        <v>385</v>
      </c>
      <c r="I233">
        <v>858</v>
      </c>
      <c r="J233" t="s">
        <v>212</v>
      </c>
      <c r="K233">
        <v>132079.35999999999</v>
      </c>
      <c r="L233">
        <v>17770.009999999998</v>
      </c>
      <c r="M233">
        <v>18.63</v>
      </c>
      <c r="N233" s="2">
        <v>44341</v>
      </c>
      <c r="O233" t="s">
        <v>199</v>
      </c>
    </row>
    <row r="236" spans="1:15">
      <c r="A236" s="10" t="s">
        <v>460</v>
      </c>
      <c r="B236" s="10" t="s">
        <v>461</v>
      </c>
      <c r="C236" s="10" t="s">
        <v>462</v>
      </c>
      <c r="D236" s="10" t="s">
        <v>463</v>
      </c>
      <c r="E236" s="10" t="s">
        <v>464</v>
      </c>
      <c r="F236" s="10" t="s">
        <v>465</v>
      </c>
      <c r="G236" s="10" t="s">
        <v>466</v>
      </c>
      <c r="H236" s="10" t="s">
        <v>467</v>
      </c>
      <c r="I236" s="10" t="s">
        <v>468</v>
      </c>
      <c r="J236" s="10" t="s">
        <v>208</v>
      </c>
    </row>
    <row r="237" spans="1:15">
      <c r="A237">
        <v>2000</v>
      </c>
      <c r="B237">
        <v>1709</v>
      </c>
      <c r="C237">
        <v>2000</v>
      </c>
      <c r="D237">
        <v>1609</v>
      </c>
      <c r="E237" s="11">
        <v>4104809239</v>
      </c>
      <c r="F237">
        <v>722750005.53999996</v>
      </c>
      <c r="G237">
        <v>1788</v>
      </c>
      <c r="H237">
        <v>11006304866.700001</v>
      </c>
      <c r="I237">
        <v>4631183367.3999996</v>
      </c>
      <c r="J237">
        <v>164</v>
      </c>
    </row>
    <row r="240" spans="1:15">
      <c r="B240" s="10" t="s">
        <v>460</v>
      </c>
      <c r="C240" s="10" t="s">
        <v>461</v>
      </c>
      <c r="D240" s="10" t="s">
        <v>462</v>
      </c>
      <c r="E240" s="10" t="s">
        <v>463</v>
      </c>
      <c r="F240" s="10" t="s">
        <v>464</v>
      </c>
      <c r="G240" s="10" t="s">
        <v>465</v>
      </c>
      <c r="H240" s="10" t="s">
        <v>466</v>
      </c>
      <c r="I240" s="10" t="s">
        <v>467</v>
      </c>
      <c r="J240" s="10" t="s">
        <v>468</v>
      </c>
      <c r="K240" s="10" t="s">
        <v>208</v>
      </c>
    </row>
    <row r="241" spans="2:11">
      <c r="B241">
        <v>2000</v>
      </c>
      <c r="C241">
        <v>1709</v>
      </c>
      <c r="D241">
        <v>2000</v>
      </c>
      <c r="E241">
        <v>1609</v>
      </c>
      <c r="F241" s="12">
        <v>4104809239.2399998</v>
      </c>
      <c r="G241">
        <v>722750005.53999996</v>
      </c>
      <c r="H241">
        <v>1788</v>
      </c>
      <c r="I241" s="12">
        <v>11006304866.700001</v>
      </c>
      <c r="J241">
        <v>4631183367.3999996</v>
      </c>
      <c r="K241">
        <v>164</v>
      </c>
    </row>
  </sheetData>
  <autoFilter ref="H56:H63" xr:uid="{19AFA456-F83B-4E8E-972B-1652FCE90FCD}"/>
  <sortState xmlns:xlrd2="http://schemas.microsoft.com/office/spreadsheetml/2017/richdata2" ref="H57:O63">
    <sortCondition descending="1" ref="O57:O63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37AE0-D8B5-4005-913D-408B6A7F262E}">
  <dimension ref="A1"/>
  <sheetViews>
    <sheetView workbookViewId="0">
      <selection activeCell="A2" sqref="A2"/>
    </sheetView>
  </sheetViews>
  <sheetFormatPr defaultRowHeight="13.8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 BOARD</vt:lpstr>
      <vt:lpstr>kpi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ademoladavid299@gmail.com</dc:creator>
  <cp:lastModifiedBy>HALIMAH BASHIR</cp:lastModifiedBy>
  <dcterms:created xsi:type="dcterms:W3CDTF">2026-09-03T12:23:54Z</dcterms:created>
  <dcterms:modified xsi:type="dcterms:W3CDTF">2026-10-27T14:30:50Z</dcterms:modified>
</cp:coreProperties>
</file>