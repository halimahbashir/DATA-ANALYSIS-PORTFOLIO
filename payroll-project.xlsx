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d91c5bba96f787/Documents/"/>
    </mc:Choice>
  </mc:AlternateContent>
  <xr:revisionPtr revIDLastSave="8" documentId="8_{A314B616-109C-4F3E-B914-02EC8B90C108}" xr6:coauthVersionLast="47" xr6:coauthVersionMax="47" xr10:uidLastSave="{C48D943B-C714-4736-998D-548325402DD3}"/>
  <bookViews>
    <workbookView xWindow="-108" yWindow="-108" windowWidth="23256" windowHeight="12456" activeTab="1" xr2:uid="{75E6EED7-2011-4E84-8EFC-66973FE8279E}"/>
  </bookViews>
  <sheets>
    <sheet name="piovt table" sheetId="6" r:id="rId1"/>
    <sheet name="Dash board" sheetId="7" r:id="rId2"/>
    <sheet name="kpi" sheetId="8" r:id="rId3"/>
    <sheet name="Sheet1" sheetId="1" r:id="rId4"/>
    <sheet name="SENIOR" sheetId="4" r:id="rId5"/>
    <sheet name="JUNIOR" sheetId="3" r:id="rId6"/>
    <sheet name="CLERKS" sheetId="2" r:id="rId7"/>
  </sheets>
  <definedNames>
    <definedName name="EMP">Table1[]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8" i="8" l="1"/>
  <c r="A47" i="8"/>
  <c r="A46" i="8"/>
  <c r="A45" i="8"/>
  <c r="A44" i="8"/>
  <c r="B43" i="8"/>
  <c r="A43" i="8"/>
  <c r="A40" i="8"/>
  <c r="A39" i="8"/>
  <c r="A38" i="8"/>
  <c r="A37" i="8"/>
  <c r="A36" i="8"/>
  <c r="A35" i="8"/>
  <c r="A34" i="8"/>
  <c r="A33" i="8"/>
  <c r="A32" i="8"/>
  <c r="A31" i="8"/>
  <c r="A30" i="8"/>
  <c r="A29" i="8"/>
  <c r="A24" i="8"/>
  <c r="A23" i="8"/>
  <c r="A22" i="8"/>
  <c r="A21" i="8"/>
  <c r="A20" i="8"/>
  <c r="A19" i="8"/>
  <c r="B18" i="8"/>
  <c r="A18" i="8"/>
  <c r="A14" i="8"/>
  <c r="A13" i="8"/>
  <c r="A12" i="8"/>
  <c r="A11" i="8"/>
  <c r="B10" i="8"/>
  <c r="A10" i="8"/>
  <c r="A2" i="8"/>
  <c r="B48" i="8"/>
  <c r="B47" i="8"/>
  <c r="B46" i="8"/>
  <c r="B45" i="8"/>
  <c r="B44" i="8"/>
  <c r="B40" i="8"/>
  <c r="B39" i="8"/>
  <c r="B38" i="8"/>
  <c r="B37" i="8"/>
  <c r="B36" i="8"/>
  <c r="B35" i="8"/>
  <c r="B34" i="8"/>
  <c r="B33" i="8"/>
  <c r="B32" i="8"/>
  <c r="B31" i="8"/>
  <c r="B30" i="8"/>
  <c r="B29" i="8"/>
  <c r="B24" i="8"/>
  <c r="B23" i="8"/>
  <c r="B22" i="8"/>
  <c r="B21" i="8"/>
  <c r="B20" i="8"/>
  <c r="B19" i="8"/>
  <c r="B14" i="8"/>
  <c r="B13" i="8"/>
  <c r="B12" i="8"/>
  <c r="B11" i="8"/>
  <c r="A6" i="8"/>
  <c r="A3" i="8"/>
  <c r="K142" i="1" l="1"/>
  <c r="K141" i="1"/>
  <c r="K140" i="1"/>
  <c r="K139" i="1"/>
  <c r="J142" i="1"/>
  <c r="J141" i="1"/>
  <c r="J140" i="1"/>
  <c r="J139" i="1"/>
  <c r="H140" i="1"/>
  <c r="H139" i="1"/>
  <c r="G139" i="1"/>
  <c r="H142" i="1"/>
  <c r="H141" i="1"/>
  <c r="H132" i="1"/>
  <c r="G142" i="1"/>
  <c r="G141" i="1"/>
  <c r="G140" i="1"/>
  <c r="J136" i="1"/>
  <c r="G136" i="1"/>
  <c r="J135" i="1"/>
  <c r="J134" i="1"/>
  <c r="J133" i="1"/>
  <c r="J132" i="1"/>
  <c r="H135" i="1"/>
  <c r="H134" i="1"/>
  <c r="H133" i="1"/>
  <c r="G132" i="1"/>
  <c r="G135" i="1"/>
  <c r="G134" i="1"/>
  <c r="G133" i="1"/>
  <c r="F132" i="1" a="1"/>
  <c r="F132" i="1" s="1"/>
  <c r="H103" i="1"/>
  <c r="I103" i="1"/>
  <c r="J103" i="1"/>
  <c r="K103" i="1"/>
  <c r="L103" i="1"/>
  <c r="M103" i="1"/>
  <c r="N103" i="1"/>
  <c r="O103" i="1"/>
  <c r="P103" i="1"/>
  <c r="Q103" i="1"/>
  <c r="R103" i="1"/>
  <c r="S103" i="1"/>
  <c r="K102" i="1"/>
  <c r="L102" i="1"/>
  <c r="M102" i="1"/>
  <c r="N102" i="1"/>
  <c r="O102" i="1"/>
  <c r="P102" i="1"/>
  <c r="Q102" i="1"/>
  <c r="R102" i="1"/>
  <c r="S102" i="1"/>
  <c r="H102" i="1"/>
  <c r="I102" i="1"/>
  <c r="J102" i="1"/>
  <c r="G103" i="1"/>
  <c r="G102" i="1"/>
  <c r="J112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I112" i="1"/>
  <c r="G112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H3" i="1"/>
  <c r="I3" i="1"/>
  <c r="H2" i="1"/>
  <c r="I2" i="1"/>
  <c r="K12" i="1"/>
  <c r="J2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" i="1"/>
  <c r="K2" i="1"/>
  <c r="K3" i="1"/>
  <c r="K4" i="1"/>
  <c r="K5" i="1"/>
  <c r="K6" i="1"/>
  <c r="K7" i="1"/>
  <c r="K8" i="1"/>
  <c r="K9" i="1"/>
  <c r="K10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H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H100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12" i="1" l="1"/>
  <c r="I117" i="1"/>
  <c r="I119" i="1"/>
  <c r="M63" i="1"/>
  <c r="N63" i="1" s="1"/>
  <c r="Q63" i="1" s="1"/>
  <c r="I127" i="1"/>
  <c r="I128" i="1"/>
  <c r="M25" i="1"/>
  <c r="N25" i="1" s="1"/>
  <c r="Q25" i="1" s="1"/>
  <c r="M83" i="1"/>
  <c r="N83" i="1" s="1"/>
  <c r="Q83" i="1" s="1"/>
  <c r="M62" i="1"/>
  <c r="N62" i="1" s="1"/>
  <c r="Q62" i="1" s="1"/>
  <c r="M61" i="1"/>
  <c r="N61" i="1" s="1"/>
  <c r="Q61" i="1" s="1"/>
  <c r="M39" i="1"/>
  <c r="N39" i="1" s="1"/>
  <c r="Q39" i="1" s="1"/>
  <c r="I113" i="1"/>
  <c r="I118" i="1"/>
  <c r="M94" i="1"/>
  <c r="N94" i="1" s="1"/>
  <c r="Q94" i="1" s="1"/>
  <c r="M58" i="1"/>
  <c r="N58" i="1" s="1"/>
  <c r="Q58" i="1" s="1"/>
  <c r="M34" i="1"/>
  <c r="N34" i="1" s="1"/>
  <c r="Q34" i="1" s="1"/>
  <c r="M59" i="1"/>
  <c r="N59" i="1" s="1"/>
  <c r="Q59" i="1" s="1"/>
  <c r="M35" i="1"/>
  <c r="N35" i="1" s="1"/>
  <c r="Q35" i="1" s="1"/>
  <c r="M11" i="1"/>
  <c r="N11" i="1" s="1"/>
  <c r="Q11" i="1" s="1"/>
  <c r="M93" i="1"/>
  <c r="N93" i="1" s="1"/>
  <c r="Q93" i="1" s="1"/>
  <c r="M81" i="1"/>
  <c r="N81" i="1" s="1"/>
  <c r="Q81" i="1" s="1"/>
  <c r="M69" i="1"/>
  <c r="N69" i="1" s="1"/>
  <c r="Q69" i="1" s="1"/>
  <c r="M57" i="1"/>
  <c r="N57" i="1" s="1"/>
  <c r="Q57" i="1" s="1"/>
  <c r="M45" i="1"/>
  <c r="N45" i="1" s="1"/>
  <c r="Q45" i="1" s="1"/>
  <c r="M33" i="1"/>
  <c r="N33" i="1" s="1"/>
  <c r="Q33" i="1" s="1"/>
  <c r="M21" i="1"/>
  <c r="N21" i="1" s="1"/>
  <c r="Q21" i="1" s="1"/>
  <c r="I120" i="1"/>
  <c r="I126" i="1"/>
  <c r="M98" i="1"/>
  <c r="N98" i="1" s="1"/>
  <c r="Q98" i="1" s="1"/>
  <c r="M74" i="1"/>
  <c r="M38" i="1"/>
  <c r="N38" i="1" s="1"/>
  <c r="Q38" i="1" s="1"/>
  <c r="M26" i="1"/>
  <c r="N26" i="1" s="1"/>
  <c r="Q26" i="1" s="1"/>
  <c r="M82" i="1"/>
  <c r="N82" i="1" s="1"/>
  <c r="Q82" i="1" s="1"/>
  <c r="M46" i="1"/>
  <c r="N46" i="1" s="1"/>
  <c r="Q46" i="1" s="1"/>
  <c r="M22" i="1"/>
  <c r="N22" i="1" s="1"/>
  <c r="Q22" i="1" s="1"/>
  <c r="M95" i="1"/>
  <c r="N95" i="1" s="1"/>
  <c r="Q95" i="1" s="1"/>
  <c r="M47" i="1"/>
  <c r="N47" i="1" s="1"/>
  <c r="Q47" i="1" s="1"/>
  <c r="M23" i="1"/>
  <c r="N23" i="1" s="1"/>
  <c r="Q23" i="1" s="1"/>
  <c r="M99" i="1"/>
  <c r="N99" i="1" s="1"/>
  <c r="Q99" i="1" s="1"/>
  <c r="M92" i="1"/>
  <c r="N92" i="1" s="1"/>
  <c r="Q92" i="1" s="1"/>
  <c r="M80" i="1"/>
  <c r="N80" i="1" s="1"/>
  <c r="Q80" i="1" s="1"/>
  <c r="M68" i="1"/>
  <c r="N68" i="1" s="1"/>
  <c r="Q68" i="1" s="1"/>
  <c r="M56" i="1"/>
  <c r="N56" i="1" s="1"/>
  <c r="Q56" i="1" s="1"/>
  <c r="M44" i="1"/>
  <c r="N44" i="1" s="1"/>
  <c r="Q44" i="1" s="1"/>
  <c r="M32" i="1"/>
  <c r="N32" i="1" s="1"/>
  <c r="Q32" i="1" s="1"/>
  <c r="M20" i="1"/>
  <c r="N20" i="1" s="1"/>
  <c r="Q20" i="1" s="1"/>
  <c r="I121" i="1"/>
  <c r="I123" i="1"/>
  <c r="M97" i="1"/>
  <c r="N97" i="1" s="1"/>
  <c r="Q97" i="1" s="1"/>
  <c r="M73" i="1"/>
  <c r="N73" i="1" s="1"/>
  <c r="Q73" i="1" s="1"/>
  <c r="M37" i="1"/>
  <c r="N37" i="1" s="1"/>
  <c r="I116" i="1"/>
  <c r="M70" i="1"/>
  <c r="N70" i="1" s="1"/>
  <c r="Q70" i="1" s="1"/>
  <c r="M71" i="1"/>
  <c r="N71" i="1" s="1"/>
  <c r="Q71" i="1" s="1"/>
  <c r="I114" i="1"/>
  <c r="M19" i="1"/>
  <c r="N19" i="1" s="1"/>
  <c r="Q19" i="1" s="1"/>
  <c r="I124" i="1"/>
  <c r="I125" i="1"/>
  <c r="M31" i="1"/>
  <c r="N31" i="1" s="1"/>
  <c r="Q31" i="1" s="1"/>
  <c r="I122" i="1"/>
  <c r="M30" i="1"/>
  <c r="N30" i="1" s="1"/>
  <c r="Q30" i="1" s="1"/>
  <c r="M29" i="1"/>
  <c r="N29" i="1" s="1"/>
  <c r="Q29" i="1" s="1"/>
  <c r="M27" i="1"/>
  <c r="N27" i="1" s="1"/>
  <c r="Q27" i="1" s="1"/>
  <c r="I115" i="1"/>
  <c r="M89" i="1"/>
  <c r="N89" i="1" s="1"/>
  <c r="Q89" i="1" s="1"/>
  <c r="M28" i="1"/>
  <c r="N28" i="1" s="1"/>
  <c r="Q28" i="1" s="1"/>
  <c r="M75" i="1"/>
  <c r="N75" i="1" s="1"/>
  <c r="Q75" i="1" s="1"/>
  <c r="M2" i="1"/>
  <c r="N2" i="1" s="1"/>
  <c r="O2" i="1" s="1"/>
  <c r="M3" i="1"/>
  <c r="N3" i="1" s="1"/>
  <c r="Q3" i="1" s="1"/>
  <c r="H126" i="1"/>
  <c r="M10" i="1"/>
  <c r="H114" i="1"/>
  <c r="M8" i="1"/>
  <c r="M79" i="1"/>
  <c r="M55" i="1"/>
  <c r="H120" i="1"/>
  <c r="M9" i="1"/>
  <c r="M91" i="1"/>
  <c r="M67" i="1"/>
  <c r="M43" i="1"/>
  <c r="H125" i="1"/>
  <c r="M7" i="1"/>
  <c r="M90" i="1"/>
  <c r="M78" i="1"/>
  <c r="M66" i="1"/>
  <c r="M54" i="1"/>
  <c r="M42" i="1"/>
  <c r="H123" i="1"/>
  <c r="M18" i="1"/>
  <c r="M6" i="1"/>
  <c r="H119" i="1"/>
  <c r="M77" i="1"/>
  <c r="M65" i="1"/>
  <c r="M53" i="1"/>
  <c r="M41" i="1"/>
  <c r="H117" i="1"/>
  <c r="M17" i="1"/>
  <c r="H124" i="1"/>
  <c r="M4" i="1"/>
  <c r="M88" i="1"/>
  <c r="M76" i="1"/>
  <c r="M64" i="1"/>
  <c r="M52" i="1"/>
  <c r="M40" i="1"/>
  <c r="H128" i="1"/>
  <c r="M16" i="1"/>
  <c r="M100" i="1"/>
  <c r="M87" i="1"/>
  <c r="M51" i="1"/>
  <c r="H122" i="1"/>
  <c r="M15" i="1"/>
  <c r="M86" i="1"/>
  <c r="M50" i="1"/>
  <c r="M85" i="1"/>
  <c r="M49" i="1"/>
  <c r="M13" i="1"/>
  <c r="H116" i="1"/>
  <c r="H127" i="1"/>
  <c r="M96" i="1"/>
  <c r="M84" i="1"/>
  <c r="M72" i="1"/>
  <c r="M60" i="1"/>
  <c r="M48" i="1"/>
  <c r="M36" i="1"/>
  <c r="M24" i="1"/>
  <c r="M12" i="1"/>
  <c r="N12" i="1" s="1"/>
  <c r="Q12" i="1" s="1"/>
  <c r="H121" i="1"/>
  <c r="H113" i="1"/>
  <c r="M5" i="1"/>
  <c r="M14" i="1"/>
  <c r="H115" i="1"/>
  <c r="H118" i="1"/>
  <c r="G129" i="1"/>
  <c r="O39" i="1" l="1"/>
  <c r="P39" i="1" s="1"/>
  <c r="R39" i="1" s="1"/>
  <c r="S39" i="1" s="1"/>
  <c r="O62" i="1"/>
  <c r="P62" i="1" s="1"/>
  <c r="R62" i="1" s="1"/>
  <c r="S62" i="1" s="1"/>
  <c r="Q37" i="1"/>
  <c r="O37" i="1"/>
  <c r="P37" i="1" s="1"/>
  <c r="O38" i="1"/>
  <c r="P38" i="1" s="1"/>
  <c r="R38" i="1" s="1"/>
  <c r="S38" i="1" s="1"/>
  <c r="N74" i="1"/>
  <c r="Q74" i="1" s="1"/>
  <c r="O11" i="1"/>
  <c r="P11" i="1" s="1"/>
  <c r="R11" i="1" s="1"/>
  <c r="S11" i="1" s="1"/>
  <c r="O59" i="1"/>
  <c r="P59" i="1" s="1"/>
  <c r="R59" i="1" s="1"/>
  <c r="S59" i="1" s="1"/>
  <c r="O28" i="1"/>
  <c r="P28" i="1" s="1"/>
  <c r="R28" i="1" s="1"/>
  <c r="S28" i="1" s="1"/>
  <c r="H129" i="1"/>
  <c r="O95" i="1"/>
  <c r="P95" i="1" s="1"/>
  <c r="R95" i="1" s="1"/>
  <c r="S95" i="1" s="1"/>
  <c r="O45" i="1"/>
  <c r="P45" i="1" s="1"/>
  <c r="R45" i="1" s="1"/>
  <c r="S45" i="1" s="1"/>
  <c r="O26" i="1"/>
  <c r="P26" i="1" s="1"/>
  <c r="R26" i="1" s="1"/>
  <c r="S26" i="1" s="1"/>
  <c r="O56" i="1"/>
  <c r="P56" i="1" s="1"/>
  <c r="R56" i="1" s="1"/>
  <c r="S56" i="1" s="1"/>
  <c r="O25" i="1"/>
  <c r="P25" i="1" s="1"/>
  <c r="R25" i="1" s="1"/>
  <c r="S25" i="1" s="1"/>
  <c r="I129" i="1"/>
  <c r="O99" i="1"/>
  <c r="P99" i="1" s="1"/>
  <c r="R99" i="1" s="1"/>
  <c r="S99" i="1" s="1"/>
  <c r="N49" i="1"/>
  <c r="Q49" i="1" s="1"/>
  <c r="N40" i="1"/>
  <c r="Q40" i="1" s="1"/>
  <c r="O40" i="1"/>
  <c r="P40" i="1" s="1"/>
  <c r="N53" i="1"/>
  <c r="Q53" i="1" s="1"/>
  <c r="N66" i="1"/>
  <c r="Q66" i="1" s="1"/>
  <c r="R37" i="1"/>
  <c r="S37" i="1" s="1"/>
  <c r="N85" i="1"/>
  <c r="Q85" i="1" s="1"/>
  <c r="N52" i="1"/>
  <c r="Q52" i="1" s="1"/>
  <c r="N65" i="1"/>
  <c r="Q65" i="1" s="1"/>
  <c r="N78" i="1"/>
  <c r="Q78" i="1" s="1"/>
  <c r="N9" i="1"/>
  <c r="Q9" i="1" s="1"/>
  <c r="N24" i="1"/>
  <c r="Q24" i="1" s="1"/>
  <c r="O24" i="1"/>
  <c r="P24" i="1" s="1"/>
  <c r="N50" i="1"/>
  <c r="Q50" i="1" s="1"/>
  <c r="N64" i="1"/>
  <c r="Q64" i="1" s="1"/>
  <c r="N77" i="1"/>
  <c r="Q77" i="1" s="1"/>
  <c r="N90" i="1"/>
  <c r="Q90" i="1" s="1"/>
  <c r="O97" i="1"/>
  <c r="P97" i="1" s="1"/>
  <c r="O22" i="1"/>
  <c r="P22" i="1" s="1"/>
  <c r="O80" i="1"/>
  <c r="P80" i="1" s="1"/>
  <c r="O69" i="1"/>
  <c r="P69" i="1" s="1"/>
  <c r="O83" i="1"/>
  <c r="P83" i="1" s="1"/>
  <c r="O61" i="1"/>
  <c r="P61" i="1" s="1"/>
  <c r="N36" i="1"/>
  <c r="Q36" i="1" s="1"/>
  <c r="N86" i="1"/>
  <c r="Q86" i="1" s="1"/>
  <c r="O86" i="1"/>
  <c r="P86" i="1" s="1"/>
  <c r="N76" i="1"/>
  <c r="Q76" i="1" s="1"/>
  <c r="O76" i="1"/>
  <c r="P76" i="1" s="1"/>
  <c r="N7" i="1"/>
  <c r="Q7" i="1" s="1"/>
  <c r="N10" i="1"/>
  <c r="Q10" i="1" s="1"/>
  <c r="N48" i="1"/>
  <c r="Q48" i="1" s="1"/>
  <c r="N15" i="1"/>
  <c r="Q15" i="1" s="1"/>
  <c r="N88" i="1"/>
  <c r="Q88" i="1" s="1"/>
  <c r="O20" i="1"/>
  <c r="P20" i="1" s="1"/>
  <c r="O33" i="1"/>
  <c r="P33" i="1" s="1"/>
  <c r="O46" i="1"/>
  <c r="P46" i="1" s="1"/>
  <c r="O19" i="1"/>
  <c r="P19" i="1" s="1"/>
  <c r="O93" i="1"/>
  <c r="P93" i="1" s="1"/>
  <c r="O71" i="1"/>
  <c r="P71" i="1" s="1"/>
  <c r="N60" i="1"/>
  <c r="Q60" i="1" s="1"/>
  <c r="N4" i="1"/>
  <c r="Q4" i="1" s="1"/>
  <c r="N6" i="1"/>
  <c r="Q6" i="1" s="1"/>
  <c r="N55" i="1"/>
  <c r="Q55" i="1" s="1"/>
  <c r="N72" i="1"/>
  <c r="Q72" i="1" s="1"/>
  <c r="N51" i="1"/>
  <c r="Q51" i="1" s="1"/>
  <c r="N18" i="1"/>
  <c r="Q18" i="1" s="1"/>
  <c r="O31" i="1"/>
  <c r="P31" i="1" s="1"/>
  <c r="O44" i="1"/>
  <c r="P44" i="1" s="1"/>
  <c r="O57" i="1"/>
  <c r="P57" i="1" s="1"/>
  <c r="O70" i="1"/>
  <c r="P70" i="1" s="1"/>
  <c r="N79" i="1"/>
  <c r="Q79" i="1" s="1"/>
  <c r="O34" i="1"/>
  <c r="P34" i="1" s="1"/>
  <c r="O73" i="1"/>
  <c r="P73" i="1" s="1"/>
  <c r="P2" i="1"/>
  <c r="R2" i="1" s="1"/>
  <c r="N84" i="1"/>
  <c r="Q84" i="1" s="1"/>
  <c r="O84" i="1"/>
  <c r="P84" i="1" s="1"/>
  <c r="N87" i="1"/>
  <c r="Q87" i="1" s="1"/>
  <c r="O87" i="1"/>
  <c r="P87" i="1" s="1"/>
  <c r="N17" i="1"/>
  <c r="Q17" i="1" s="1"/>
  <c r="N43" i="1"/>
  <c r="Q43" i="1" s="1"/>
  <c r="N8" i="1"/>
  <c r="Q8" i="1" s="1"/>
  <c r="Q2" i="1"/>
  <c r="N96" i="1"/>
  <c r="Q96" i="1" s="1"/>
  <c r="N100" i="1"/>
  <c r="Q100" i="1" s="1"/>
  <c r="N67" i="1"/>
  <c r="Q67" i="1" s="1"/>
  <c r="O68" i="1"/>
  <c r="P68" i="1" s="1"/>
  <c r="O81" i="1"/>
  <c r="P81" i="1" s="1"/>
  <c r="O94" i="1"/>
  <c r="P94" i="1" s="1"/>
  <c r="O98" i="1"/>
  <c r="P98" i="1" s="1"/>
  <c r="O58" i="1"/>
  <c r="P58" i="1" s="1"/>
  <c r="O63" i="1"/>
  <c r="P63" i="1" s="1"/>
  <c r="O89" i="1"/>
  <c r="P89" i="1" s="1"/>
  <c r="N14" i="1"/>
  <c r="Q14" i="1" s="1"/>
  <c r="N16" i="1"/>
  <c r="Q16" i="1" s="1"/>
  <c r="O30" i="1"/>
  <c r="P30" i="1" s="1"/>
  <c r="N91" i="1"/>
  <c r="Q91" i="1" s="1"/>
  <c r="N5" i="1"/>
  <c r="Q5" i="1" s="1"/>
  <c r="O29" i="1"/>
  <c r="P29" i="1" s="1"/>
  <c r="N42" i="1"/>
  <c r="Q42" i="1" s="1"/>
  <c r="O92" i="1"/>
  <c r="P92" i="1" s="1"/>
  <c r="O23" i="1"/>
  <c r="P23" i="1" s="1"/>
  <c r="O47" i="1"/>
  <c r="P47" i="1" s="1"/>
  <c r="O32" i="1"/>
  <c r="P32" i="1" s="1"/>
  <c r="O21" i="1"/>
  <c r="P21" i="1" s="1"/>
  <c r="O35" i="1"/>
  <c r="P35" i="1" s="1"/>
  <c r="O82" i="1"/>
  <c r="P82" i="1" s="1"/>
  <c r="O27" i="1"/>
  <c r="P27" i="1" s="1"/>
  <c r="N13" i="1"/>
  <c r="Q13" i="1" s="1"/>
  <c r="N41" i="1"/>
  <c r="Q41" i="1" s="1"/>
  <c r="N54" i="1"/>
  <c r="Q54" i="1" s="1"/>
  <c r="O75" i="1"/>
  <c r="P75" i="1" s="1"/>
  <c r="O3" i="1"/>
  <c r="P3" i="1" s="1"/>
  <c r="O12" i="1"/>
  <c r="P12" i="1" s="1"/>
  <c r="O48" i="1" l="1"/>
  <c r="P48" i="1" s="1"/>
  <c r="O88" i="1"/>
  <c r="P88" i="1" s="1"/>
  <c r="O16" i="1"/>
  <c r="P16" i="1" s="1"/>
  <c r="R16" i="1" s="1"/>
  <c r="S16" i="1" s="1"/>
  <c r="O96" i="1"/>
  <c r="P96" i="1" s="1"/>
  <c r="R96" i="1" s="1"/>
  <c r="O15" i="1"/>
  <c r="P15" i="1" s="1"/>
  <c r="R15" i="1" s="1"/>
  <c r="S15" i="1" s="1"/>
  <c r="O74" i="1"/>
  <c r="P74" i="1" s="1"/>
  <c r="R74" i="1" s="1"/>
  <c r="S74" i="1" s="1"/>
  <c r="O67" i="1"/>
  <c r="P67" i="1" s="1"/>
  <c r="O43" i="1"/>
  <c r="P43" i="1" s="1"/>
  <c r="O60" i="1"/>
  <c r="P60" i="1" s="1"/>
  <c r="R67" i="1"/>
  <c r="S67" i="1" s="1"/>
  <c r="R43" i="1"/>
  <c r="S43" i="1" s="1"/>
  <c r="R60" i="1"/>
  <c r="S60" i="1" s="1"/>
  <c r="R48" i="1"/>
  <c r="S48" i="1" s="1"/>
  <c r="O42" i="1"/>
  <c r="P42" i="1" s="1"/>
  <c r="O14" i="1"/>
  <c r="P14" i="1" s="1"/>
  <c r="R34" i="1"/>
  <c r="S34" i="1" s="1"/>
  <c r="O51" i="1"/>
  <c r="P51" i="1" s="1"/>
  <c r="R71" i="1"/>
  <c r="S71" i="1" s="1"/>
  <c r="O36" i="1"/>
  <c r="P36" i="1" s="1"/>
  <c r="O64" i="1"/>
  <c r="P64" i="1" s="1"/>
  <c r="O52" i="1"/>
  <c r="P52" i="1" s="1"/>
  <c r="O49" i="1"/>
  <c r="P49" i="1" s="1"/>
  <c r="R29" i="1"/>
  <c r="S29" i="1" s="1"/>
  <c r="R89" i="1"/>
  <c r="S89" i="1" s="1"/>
  <c r="O100" i="1"/>
  <c r="P100" i="1" s="1"/>
  <c r="O17" i="1"/>
  <c r="P17" i="1" s="1"/>
  <c r="R61" i="1"/>
  <c r="S61" i="1" s="1"/>
  <c r="O13" i="1"/>
  <c r="P13" i="1" s="1"/>
  <c r="R63" i="1"/>
  <c r="S63" i="1" s="1"/>
  <c r="R87" i="1"/>
  <c r="S87" i="1" s="1"/>
  <c r="O72" i="1"/>
  <c r="P72" i="1" s="1"/>
  <c r="R93" i="1"/>
  <c r="S93" i="1" s="1"/>
  <c r="R83" i="1"/>
  <c r="S83" i="1" s="1"/>
  <c r="O50" i="1"/>
  <c r="P50" i="1" s="1"/>
  <c r="O85" i="1"/>
  <c r="P85" i="1" s="1"/>
  <c r="R27" i="1"/>
  <c r="S27" i="1" s="1"/>
  <c r="O5" i="1"/>
  <c r="P5" i="1" s="1"/>
  <c r="R58" i="1"/>
  <c r="S58" i="1" s="1"/>
  <c r="R19" i="1"/>
  <c r="S19" i="1" s="1"/>
  <c r="R69" i="1"/>
  <c r="S69" i="1" s="1"/>
  <c r="R24" i="1"/>
  <c r="S24" i="1" s="1"/>
  <c r="S2" i="1"/>
  <c r="R82" i="1"/>
  <c r="S82" i="1" s="1"/>
  <c r="R84" i="1"/>
  <c r="S84" i="1" s="1"/>
  <c r="O79" i="1"/>
  <c r="P79" i="1" s="1"/>
  <c r="R46" i="1"/>
  <c r="S46" i="1" s="1"/>
  <c r="O10" i="1"/>
  <c r="P10" i="1" s="1"/>
  <c r="R80" i="1"/>
  <c r="S80" i="1" s="1"/>
  <c r="R35" i="1"/>
  <c r="S35" i="1" s="1"/>
  <c r="R70" i="1"/>
  <c r="S70" i="1" s="1"/>
  <c r="O55" i="1"/>
  <c r="P55" i="1" s="1"/>
  <c r="R33" i="1"/>
  <c r="S33" i="1" s="1"/>
  <c r="R22" i="1"/>
  <c r="S22" i="1" s="1"/>
  <c r="R75" i="1"/>
  <c r="S75" i="1" s="1"/>
  <c r="R21" i="1"/>
  <c r="S21" i="1" s="1"/>
  <c r="R98" i="1"/>
  <c r="S98" i="1" s="1"/>
  <c r="R57" i="1"/>
  <c r="S57" i="1" s="1"/>
  <c r="R20" i="1"/>
  <c r="S20" i="1" s="1"/>
  <c r="O7" i="1"/>
  <c r="P7" i="1" s="1"/>
  <c r="R97" i="1"/>
  <c r="S97" i="1" s="1"/>
  <c r="O9" i="1"/>
  <c r="P9" i="1" s="1"/>
  <c r="O66" i="1"/>
  <c r="P66" i="1" s="1"/>
  <c r="R32" i="1"/>
  <c r="S32" i="1" s="1"/>
  <c r="O91" i="1"/>
  <c r="P91" i="1" s="1"/>
  <c r="R94" i="1"/>
  <c r="S94" i="1" s="1"/>
  <c r="R44" i="1"/>
  <c r="S44" i="1" s="1"/>
  <c r="O6" i="1"/>
  <c r="P6" i="1" s="1"/>
  <c r="R88" i="1"/>
  <c r="S88" i="1" s="1"/>
  <c r="R76" i="1"/>
  <c r="S76" i="1" s="1"/>
  <c r="O54" i="1"/>
  <c r="P54" i="1" s="1"/>
  <c r="R47" i="1"/>
  <c r="S47" i="1" s="1"/>
  <c r="R30" i="1"/>
  <c r="S30" i="1" s="1"/>
  <c r="R81" i="1"/>
  <c r="S81" i="1" s="1"/>
  <c r="R31" i="1"/>
  <c r="S31" i="1" s="1"/>
  <c r="O90" i="1"/>
  <c r="P90" i="1" s="1"/>
  <c r="O78" i="1"/>
  <c r="P78" i="1" s="1"/>
  <c r="O53" i="1"/>
  <c r="P53" i="1" s="1"/>
  <c r="R23" i="1"/>
  <c r="S23" i="1" s="1"/>
  <c r="R68" i="1"/>
  <c r="S68" i="1" s="1"/>
  <c r="O8" i="1"/>
  <c r="P8" i="1" s="1"/>
  <c r="O4" i="1"/>
  <c r="P4" i="1" s="1"/>
  <c r="R86" i="1"/>
  <c r="S86" i="1" s="1"/>
  <c r="R40" i="1"/>
  <c r="S40" i="1" s="1"/>
  <c r="O41" i="1"/>
  <c r="P41" i="1" s="1"/>
  <c r="R92" i="1"/>
  <c r="S92" i="1" s="1"/>
  <c r="R73" i="1"/>
  <c r="S73" i="1" s="1"/>
  <c r="O18" i="1"/>
  <c r="P18" i="1" s="1"/>
  <c r="O77" i="1"/>
  <c r="P77" i="1" s="1"/>
  <c r="O65" i="1"/>
  <c r="P65" i="1" s="1"/>
  <c r="R3" i="1"/>
  <c r="S3" i="1" s="1"/>
  <c r="R12" i="1"/>
  <c r="S12" i="1" s="1"/>
  <c r="S96" i="1" l="1"/>
  <c r="R72" i="1"/>
  <c r="S72" i="1" s="1"/>
  <c r="R8" i="1"/>
  <c r="S8" i="1" s="1"/>
  <c r="R6" i="1"/>
  <c r="S6" i="1" s="1"/>
  <c r="R66" i="1"/>
  <c r="S66" i="1" s="1"/>
  <c r="R14" i="1"/>
  <c r="S14" i="1" s="1"/>
  <c r="R41" i="1"/>
  <c r="S41" i="1" s="1"/>
  <c r="R9" i="1"/>
  <c r="S9" i="1" s="1"/>
  <c r="R42" i="1"/>
  <c r="S42" i="1" s="1"/>
  <c r="R5" i="1"/>
  <c r="S5" i="1" s="1"/>
  <c r="R49" i="1"/>
  <c r="S49" i="1" s="1"/>
  <c r="R7" i="1"/>
  <c r="S7" i="1" s="1"/>
  <c r="R52" i="1"/>
  <c r="S52" i="1" s="1"/>
  <c r="R10" i="1"/>
  <c r="S10" i="1" s="1"/>
  <c r="R85" i="1"/>
  <c r="S85" i="1" s="1"/>
  <c r="R64" i="1"/>
  <c r="S64" i="1" s="1"/>
  <c r="R65" i="1"/>
  <c r="S65" i="1" s="1"/>
  <c r="R50" i="1"/>
  <c r="S50" i="1" s="1"/>
  <c r="R13" i="1"/>
  <c r="S13" i="1" s="1"/>
  <c r="R36" i="1"/>
  <c r="S36" i="1" s="1"/>
  <c r="R77" i="1"/>
  <c r="S77" i="1" s="1"/>
  <c r="R53" i="1"/>
  <c r="S53" i="1" s="1"/>
  <c r="R54" i="1"/>
  <c r="S54" i="1" s="1"/>
  <c r="R18" i="1"/>
  <c r="S18" i="1" s="1"/>
  <c r="R4" i="1"/>
  <c r="R78" i="1"/>
  <c r="S78" i="1" s="1"/>
  <c r="R79" i="1"/>
  <c r="S79" i="1" s="1"/>
  <c r="R90" i="1"/>
  <c r="S90" i="1" s="1"/>
  <c r="R91" i="1"/>
  <c r="S91" i="1" s="1"/>
  <c r="R55" i="1"/>
  <c r="S55" i="1" s="1"/>
  <c r="R17" i="1"/>
  <c r="S17" i="1" s="1"/>
  <c r="R51" i="1"/>
  <c r="S51" i="1" s="1"/>
  <c r="R100" i="1"/>
  <c r="S100" i="1" s="1"/>
  <c r="S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<sst xmlns="http://schemas.openxmlformats.org/spreadsheetml/2006/main" count="821" uniqueCount="182">
  <si>
    <t>S/N</t>
  </si>
  <si>
    <t>EMPLOYEE ID</t>
  </si>
  <si>
    <t>NAME</t>
  </si>
  <si>
    <t>STATUS</t>
  </si>
  <si>
    <t>DEPARTMENT</t>
  </si>
  <si>
    <t>BASIC SALARY</t>
  </si>
  <si>
    <t>HOUSING (25%)</t>
  </si>
  <si>
    <t>MEDICAL (10%)</t>
  </si>
  <si>
    <t>TRANSPORT(12.5%)</t>
  </si>
  <si>
    <t>WELFARE (5.7%)</t>
  </si>
  <si>
    <t>BONUS (3.2%)</t>
  </si>
  <si>
    <t>GROSS EARN</t>
  </si>
  <si>
    <t>TAX PER MON (1.25%)</t>
  </si>
  <si>
    <t>NET EARN</t>
  </si>
  <si>
    <t>ANNUAL NET</t>
  </si>
  <si>
    <t>ANNUAL TAX</t>
  </si>
  <si>
    <t>ACTUAL TAX</t>
  </si>
  <si>
    <t>ACTUAL NET</t>
  </si>
  <si>
    <t>Bashir Halimah</t>
  </si>
  <si>
    <t>Ola Titi</t>
  </si>
  <si>
    <t>Bello Musa</t>
  </si>
  <si>
    <t>Okafor Chidi</t>
  </si>
  <si>
    <t>Yusuf Zara</t>
  </si>
  <si>
    <t>Adewale Bola</t>
  </si>
  <si>
    <t>Etim Grace</t>
  </si>
  <si>
    <t>Nwosu Kelvin</t>
  </si>
  <si>
    <t>Garba Amina</t>
  </si>
  <si>
    <t>Okon Peace</t>
  </si>
  <si>
    <t>Chukwu Ify</t>
  </si>
  <si>
    <t>Salami Kunle</t>
  </si>
  <si>
    <t>Danjuma Sadiq</t>
  </si>
  <si>
    <t>Eze Nkim</t>
  </si>
  <si>
    <t>Ibrahim Fatima</t>
  </si>
  <si>
    <t>Ade Segun</t>
  </si>
  <si>
    <t>Umar Habib</t>
  </si>
  <si>
    <t>Chioma Chidi</t>
  </si>
  <si>
    <t>Balogun Wale</t>
  </si>
  <si>
    <t>Adamu Rasak</t>
  </si>
  <si>
    <t>Nwafor Tobi</t>
  </si>
  <si>
    <t>Yakubu Musa</t>
  </si>
  <si>
    <t>Efflong Comfort</t>
  </si>
  <si>
    <t>Aliyu Aisha</t>
  </si>
  <si>
    <t>Ogunleye Bayo</t>
  </si>
  <si>
    <t>Akande Faidat</t>
  </si>
  <si>
    <t>Ojelabi Cecilia</t>
  </si>
  <si>
    <t>Hameerah Eniola</t>
  </si>
  <si>
    <t>Haassan Ola</t>
  </si>
  <si>
    <t>Bala Sani</t>
  </si>
  <si>
    <t>Lawal Aminu</t>
  </si>
  <si>
    <t>Eze Chiwe</t>
  </si>
  <si>
    <t>Ojo Titi</t>
  </si>
  <si>
    <t>Ahmed Sani</t>
  </si>
  <si>
    <t>Muhameed Bashir</t>
  </si>
  <si>
    <t>Ekpo Doris</t>
  </si>
  <si>
    <t>Adekoya Wale</t>
  </si>
  <si>
    <t>Etuk Godwin</t>
  </si>
  <si>
    <t>Garba Hassan</t>
  </si>
  <si>
    <t>Bello Zainab</t>
  </si>
  <si>
    <t>Nwosu Chidiogo</t>
  </si>
  <si>
    <t>Alade Femi</t>
  </si>
  <si>
    <t>Adeyinka Kemi</t>
  </si>
  <si>
    <t>Ogunbiyi Bola</t>
  </si>
  <si>
    <t>Okeke Chuku</t>
  </si>
  <si>
    <t>Bello Aminu</t>
  </si>
  <si>
    <t>Joy Ola</t>
  </si>
  <si>
    <t>Alade Kemi</t>
  </si>
  <si>
    <t>Olkoli Okon</t>
  </si>
  <si>
    <t>Umar Nasir</t>
  </si>
  <si>
    <t>Ojo FOLAKE</t>
  </si>
  <si>
    <t>Umeh Ngozi</t>
  </si>
  <si>
    <t>Adeniran Wunmi</t>
  </si>
  <si>
    <t>Ekpo IDRIS</t>
  </si>
  <si>
    <t>Wasiu Alade</t>
  </si>
  <si>
    <t>Kuti Aishat</t>
  </si>
  <si>
    <t>Okoye CHIDERA</t>
  </si>
  <si>
    <t>Danlada Musa</t>
  </si>
  <si>
    <t>Ronke Ola</t>
  </si>
  <si>
    <t>Okoro Blessing</t>
  </si>
  <si>
    <t>Femi Alade</t>
  </si>
  <si>
    <t>Tolu Ade</t>
  </si>
  <si>
    <t>Chilo Okafor</t>
  </si>
  <si>
    <t>Adiele Yusuf</t>
  </si>
  <si>
    <t>Kule Sanni</t>
  </si>
  <si>
    <t>Ify Ola</t>
  </si>
  <si>
    <t>Rotimi Aina</t>
  </si>
  <si>
    <t>Aiaha Bello</t>
  </si>
  <si>
    <t>Aminu Lawal</t>
  </si>
  <si>
    <t>Wale Fashola</t>
  </si>
  <si>
    <t>kenny Bashir</t>
  </si>
  <si>
    <t>Adegoke Peter</t>
  </si>
  <si>
    <t>Nwaeri Joy</t>
  </si>
  <si>
    <t>Danfulani Isa</t>
  </si>
  <si>
    <t>Okoye Grace</t>
  </si>
  <si>
    <t>Adebayo Simi</t>
  </si>
  <si>
    <t>Chukwuemeka Kena</t>
  </si>
  <si>
    <t>Fatima Umar</t>
  </si>
  <si>
    <t>Rukayat Bello</t>
  </si>
  <si>
    <t>Adamu Zulai</t>
  </si>
  <si>
    <t>Adegbite Yinka</t>
  </si>
  <si>
    <t>Sadiq Suliya</t>
  </si>
  <si>
    <t>Yahaya Bunmi</t>
  </si>
  <si>
    <t>Okon Victor</t>
  </si>
  <si>
    <t>Bassey Emem</t>
  </si>
  <si>
    <t>Chukwuma Nkiru</t>
  </si>
  <si>
    <t>Danlami Kike</t>
  </si>
  <si>
    <t>Habibi Ashiru</t>
  </si>
  <si>
    <t>Nnoli Chidioze</t>
  </si>
  <si>
    <t>Okarfor Eze</t>
  </si>
  <si>
    <t>Yakassai Sani</t>
  </si>
  <si>
    <t>Bello Rukayat</t>
  </si>
  <si>
    <t>Ali Alimi</t>
  </si>
  <si>
    <t>Ogunlana Seun</t>
  </si>
  <si>
    <t>Adebayo Adebola</t>
  </si>
  <si>
    <t>LEVEL</t>
  </si>
  <si>
    <t>CLERK</t>
  </si>
  <si>
    <t>JUNIOR</t>
  </si>
  <si>
    <t>SENIOR</t>
  </si>
  <si>
    <t>ACCOUNTING</t>
  </si>
  <si>
    <t>SALES</t>
  </si>
  <si>
    <t>IT</t>
  </si>
  <si>
    <t>ENGINEERING</t>
  </si>
  <si>
    <t>TOTAL</t>
  </si>
  <si>
    <t>HIGHEST VALUE</t>
  </si>
  <si>
    <t>LOWEST VALUE</t>
  </si>
  <si>
    <t>TOTAL BS</t>
  </si>
  <si>
    <t>TOTAL HOUSING</t>
  </si>
  <si>
    <t>TOTAL MEDICAL</t>
  </si>
  <si>
    <t>TOTAL TRANSPORT</t>
  </si>
  <si>
    <t>Row Labels</t>
  </si>
  <si>
    <t>Grand Total</t>
  </si>
  <si>
    <t>Sum of HOUSING (25%)</t>
  </si>
  <si>
    <t>Sum of MEDICAL (10%)</t>
  </si>
  <si>
    <t>Sum of TRANSPORT(12.5%)</t>
  </si>
  <si>
    <t>Sum of WELFARE (5.7%)</t>
  </si>
  <si>
    <t>Sum of BONUS (3.2%)</t>
  </si>
  <si>
    <t>Sum of GROSS EARN</t>
  </si>
  <si>
    <t>Sum of TAX PER MON (1.25%)</t>
  </si>
  <si>
    <t>Sum of NET EARN</t>
  </si>
  <si>
    <t>Sum of ANNUAL NET</t>
  </si>
  <si>
    <t>grand Total</t>
  </si>
  <si>
    <t>Sum of ANNUAL TAX</t>
  </si>
  <si>
    <t>Sum of ACTUAL TAX</t>
  </si>
  <si>
    <t>Sum of ACTUAL NET</t>
  </si>
  <si>
    <t>cLERK</t>
  </si>
  <si>
    <t>Average of BASIC SALARY</t>
  </si>
  <si>
    <t>Average of HOUSING (25%)</t>
  </si>
  <si>
    <t>Average of MEDICAL (10%)</t>
  </si>
  <si>
    <t>Average of TRANSPORT(12.5%)</t>
  </si>
  <si>
    <t>Average of WELFARE (5.7%)</t>
  </si>
  <si>
    <t>Average of BONUS (3.2%)</t>
  </si>
  <si>
    <t>Average of GROSS EARN</t>
  </si>
  <si>
    <t>Average of TAX PER MON (1.25%)</t>
  </si>
  <si>
    <t>Average of NET EARN</t>
  </si>
  <si>
    <t>Average of ANNUAL NET</t>
  </si>
  <si>
    <t>Average of ANNUAL TAX</t>
  </si>
  <si>
    <t>Average of ACTUAL TAX</t>
  </si>
  <si>
    <t>Average of ACTUAL NET</t>
  </si>
  <si>
    <t>Count of BASIC SALARY</t>
  </si>
  <si>
    <t>Count of HOUSING (25%)</t>
  </si>
  <si>
    <t>Count of MEDICAL (10%)</t>
  </si>
  <si>
    <t>Count of TRANSPORT(12.5%)</t>
  </si>
  <si>
    <t>Count of ACTUAL NET</t>
  </si>
  <si>
    <t>Count of ACTUAL TAX</t>
  </si>
  <si>
    <t>Count of ANNUAL TAX</t>
  </si>
  <si>
    <t>Count of GROSS EARN</t>
  </si>
  <si>
    <t>Count of BONUS (3.2%)</t>
  </si>
  <si>
    <t>Count of WELFARE (5.7%)</t>
  </si>
  <si>
    <t>Count of TAX PER MON (1.25%)</t>
  </si>
  <si>
    <t>Count of NET EARN</t>
  </si>
  <si>
    <t>Count of ANNUAL NET</t>
  </si>
  <si>
    <t>BAISC  SALARY</t>
  </si>
  <si>
    <t>AVERAGE</t>
  </si>
  <si>
    <t>NO OF EMPLOYEES</t>
  </si>
  <si>
    <t>HOUSING</t>
  </si>
  <si>
    <t>MEDICAL</t>
  </si>
  <si>
    <t>TOTAL EMPLOYEE</t>
  </si>
  <si>
    <t>TOTAL BASIC SALARY</t>
  </si>
  <si>
    <t>TOTAL BASIC SALARY BY DEPARTMENT</t>
  </si>
  <si>
    <t xml:space="preserve">TOTAL BASIC SALARY </t>
  </si>
  <si>
    <t>TOTAL BASIC SALARY BY SATUS</t>
  </si>
  <si>
    <t>TOTAL BASIC SALARY BY LEVEL</t>
  </si>
  <si>
    <t>GETPIVOTDATA("Count of BASIC SALARY",$A$48,"STATUS","CLERK")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</si>
</sst>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 applyAlignment="1">
      <alignment horizontal="right"/>
    </xf>
    <xf numFmtId="43" fontId="2" fillId="0" borderId="0" xfId="1" applyFont="1" applyAlignment="1">
      <alignment horizontal="right"/>
    </xf>
    <xf numFmtId="43" fontId="1" fillId="0" borderId="0" xfId="1" applyFont="1" applyAlignment="1">
      <alignment horizontal="right"/>
    </xf>
    <xf numFmtId="0" fontId="2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43" fontId="0" fillId="2" borderId="2" xfId="1" applyNumberFormat="1" applyFont="1" applyFill="1" applyBorder="1" applyAlignment="1">
      <alignment horizontal="right"/>
    </xf>
    <xf numFmtId="43" fontId="0" fillId="2" borderId="3" xfId="1" applyNumberFormat="1" applyFont="1" applyFill="1" applyBorder="1" applyAlignment="1">
      <alignment horizontal="right"/>
    </xf>
    <xf numFmtId="43" fontId="0" fillId="0" borderId="2" xfId="1" applyNumberFormat="1" applyFont="1" applyBorder="1" applyAlignment="1">
      <alignment horizontal="right"/>
    </xf>
    <xf numFmtId="43" fontId="0" fillId="0" borderId="3" xfId="1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0" applyFont="1" applyFill="1"/>
    <xf numFmtId="0" fontId="0" fillId="0" borderId="0" xfId="0" applyFont="1"/>
    <xf numFmtId="0" fontId="0" fillId="4" borderId="0" xfId="0" applyFill="1"/>
    <xf numFmtId="0" fontId="2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357214</xdr:colOff>
      <xdr:row>8</xdr:row>
      <xdr:rowOff>148405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22E785B-466C-49CD-A612-8A19E55B4F1B}"/>
            </a:ext>
          </a:extLst>
        </xdr:cNvPr>
        <xdr:cNvSpPr/>
      </xdr:nvSpPr>
      <xdr:spPr>
        <a:xfrm>
          <a:off x="4624414" y="161144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5</xdr:col>
      <xdr:colOff>0</xdr:colOff>
      <xdr:row>12</xdr:row>
      <xdr:rowOff>147204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CEF98-E326-42B2-97D8-A54C4FE3E2AF}"/>
            </a:ext>
          </a:extLst>
        </xdr:cNvPr>
        <xdr:cNvSpPr txBox="1"/>
      </xdr:nvSpPr>
      <xdr:spPr>
        <a:xfrm>
          <a:off x="3030682" y="23292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405531</xdr:colOff>
      <xdr:row>2</xdr:row>
      <xdr:rowOff>98355</xdr:rowOff>
    </xdr:from>
    <xdr:ext cx="184731" cy="374141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F270425-8E76-4283-A355-1FB590DC3691}"/>
            </a:ext>
          </a:extLst>
        </xdr:cNvPr>
        <xdr:cNvSpPr/>
      </xdr:nvSpPr>
      <xdr:spPr>
        <a:xfrm>
          <a:off x="8285304" y="462037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9</xdr:col>
      <xdr:colOff>372342</xdr:colOff>
      <xdr:row>2</xdr:row>
      <xdr:rowOff>51955</xdr:rowOff>
    </xdr:from>
    <xdr:to>
      <xdr:col>23</xdr:col>
      <xdr:colOff>103910</xdr:colOff>
      <xdr:row>7</xdr:row>
      <xdr:rowOff>155865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054CDD0-2545-4E49-B7B0-3C74F32D7EEB}"/>
            </a:ext>
          </a:extLst>
        </xdr:cNvPr>
        <xdr:cNvSpPr/>
      </xdr:nvSpPr>
      <xdr:spPr>
        <a:xfrm>
          <a:off x="5827569" y="415637"/>
          <a:ext cx="8217477" cy="1013114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528203</xdr:colOff>
      <xdr:row>2</xdr:row>
      <xdr:rowOff>39832</xdr:rowOff>
    </xdr:from>
    <xdr:to>
      <xdr:col>23</xdr:col>
      <xdr:colOff>112569</xdr:colOff>
      <xdr:row>7</xdr:row>
      <xdr:rowOff>143742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2408624-E5EF-432E-8963-6B500936459F}"/>
            </a:ext>
          </a:extLst>
        </xdr:cNvPr>
        <xdr:cNvSpPr/>
      </xdr:nvSpPr>
      <xdr:spPr>
        <a:xfrm>
          <a:off x="11438658" y="403514"/>
          <a:ext cx="2615047" cy="1013114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10</xdr:col>
      <xdr:colOff>219202</xdr:colOff>
      <xdr:row>3</xdr:row>
      <xdr:rowOff>98355</xdr:rowOff>
    </xdr:from>
    <xdr:ext cx="4592539" cy="40543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278B185-4FF9-47BB-A29D-D653A547D874}"/>
            </a:ext>
          </a:extLst>
        </xdr:cNvPr>
        <xdr:cNvSpPr/>
      </xdr:nvSpPr>
      <xdr:spPr>
        <a:xfrm>
          <a:off x="6280566" y="643878"/>
          <a:ext cx="4592539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DANGOTE REFINERY EMPLOYEES PAYROLL</a:t>
          </a:r>
        </a:p>
      </xdr:txBody>
    </xdr:sp>
    <xdr:clientData/>
  </xdr:oneCellAnchor>
  <xdr:oneCellAnchor>
    <xdr:from>
      <xdr:col>19</xdr:col>
      <xdr:colOff>391366</xdr:colOff>
      <xdr:row>3</xdr:row>
      <xdr:rowOff>89696</xdr:rowOff>
    </xdr:from>
    <xdr:ext cx="1581202" cy="405432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AA3A6A4-430C-43CE-9042-A395C3BC8E16}"/>
            </a:ext>
          </a:extLst>
        </xdr:cNvPr>
        <xdr:cNvSpPr/>
      </xdr:nvSpPr>
      <xdr:spPr>
        <a:xfrm>
          <a:off x="11907957" y="635219"/>
          <a:ext cx="1581202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DASH BOARD</a:t>
          </a:r>
        </a:p>
      </xdr:txBody>
    </xdr:sp>
    <xdr:clientData/>
  </xdr:oneCellAnchor>
  <xdr:twoCellAnchor>
    <xdr:from>
      <xdr:col>9</xdr:col>
      <xdr:colOff>311727</xdr:colOff>
      <xdr:row>10</xdr:row>
      <xdr:rowOff>77932</xdr:rowOff>
    </xdr:from>
    <xdr:to>
      <xdr:col>13</xdr:col>
      <xdr:colOff>476250</xdr:colOff>
      <xdr:row>15</xdr:row>
      <xdr:rowOff>155863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13DFDFD-1989-43C0-9BF8-3E11CE9A8DB5}"/>
            </a:ext>
          </a:extLst>
        </xdr:cNvPr>
        <xdr:cNvSpPr/>
      </xdr:nvSpPr>
      <xdr:spPr>
        <a:xfrm>
          <a:off x="5766954" y="1896341"/>
          <a:ext cx="2589069" cy="987136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247652</xdr:colOff>
      <xdr:row>10</xdr:row>
      <xdr:rowOff>69272</xdr:rowOff>
    </xdr:from>
    <xdr:to>
      <xdr:col>18</xdr:col>
      <xdr:colOff>415638</xdr:colOff>
      <xdr:row>15</xdr:row>
      <xdr:rowOff>169717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BA60E36-B8B7-4EAB-B139-0D26FADB7C7E}"/>
            </a:ext>
          </a:extLst>
        </xdr:cNvPr>
        <xdr:cNvSpPr/>
      </xdr:nvSpPr>
      <xdr:spPr>
        <a:xfrm>
          <a:off x="8733561" y="1887681"/>
          <a:ext cx="2592532" cy="10096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181841</xdr:colOff>
      <xdr:row>10</xdr:row>
      <xdr:rowOff>51955</xdr:rowOff>
    </xdr:from>
    <xdr:to>
      <xdr:col>23</xdr:col>
      <xdr:colOff>303068</xdr:colOff>
      <xdr:row>15</xdr:row>
      <xdr:rowOff>157595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3D1792A6-D1E7-48BE-9D10-41764CFA6541}"/>
            </a:ext>
          </a:extLst>
        </xdr:cNvPr>
        <xdr:cNvSpPr/>
      </xdr:nvSpPr>
      <xdr:spPr>
        <a:xfrm>
          <a:off x="11698432" y="1870364"/>
          <a:ext cx="2545772" cy="101484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351558</xdr:colOff>
      <xdr:row>21</xdr:row>
      <xdr:rowOff>143741</xdr:rowOff>
    </xdr:from>
    <xdr:to>
      <xdr:col>15</xdr:col>
      <xdr:colOff>516082</xdr:colOff>
      <xdr:row>27</xdr:row>
      <xdr:rowOff>39831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3D5230D-B14A-402D-A2EB-9E107D315EBB}"/>
            </a:ext>
          </a:extLst>
        </xdr:cNvPr>
        <xdr:cNvSpPr/>
      </xdr:nvSpPr>
      <xdr:spPr>
        <a:xfrm>
          <a:off x="7019058" y="3962400"/>
          <a:ext cx="2589069" cy="987136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1731</xdr:colOff>
      <xdr:row>22</xdr:row>
      <xdr:rowOff>36368</xdr:rowOff>
    </xdr:from>
    <xdr:to>
      <xdr:col>21</xdr:col>
      <xdr:colOff>166254</xdr:colOff>
      <xdr:row>27</xdr:row>
      <xdr:rowOff>114299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B165E09-D6C8-47ED-8107-DC0FB2BFC2AC}"/>
            </a:ext>
          </a:extLst>
        </xdr:cNvPr>
        <xdr:cNvSpPr/>
      </xdr:nvSpPr>
      <xdr:spPr>
        <a:xfrm>
          <a:off x="10306049" y="4036868"/>
          <a:ext cx="2589069" cy="987136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34637</xdr:colOff>
      <xdr:row>31</xdr:row>
      <xdr:rowOff>103909</xdr:rowOff>
    </xdr:from>
    <xdr:to>
      <xdr:col>16</xdr:col>
      <xdr:colOff>346364</xdr:colOff>
      <xdr:row>63</xdr:row>
      <xdr:rowOff>155862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5808347-9BC7-4A11-84E0-5FFC966BE54A}"/>
            </a:ext>
          </a:extLst>
        </xdr:cNvPr>
        <xdr:cNvSpPr/>
      </xdr:nvSpPr>
      <xdr:spPr>
        <a:xfrm>
          <a:off x="6702137" y="5740977"/>
          <a:ext cx="3342409" cy="5870862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510887</xdr:colOff>
      <xdr:row>31</xdr:row>
      <xdr:rowOff>86591</xdr:rowOff>
    </xdr:from>
    <xdr:to>
      <xdr:col>13</xdr:col>
      <xdr:colOff>510887</xdr:colOff>
      <xdr:row>63</xdr:row>
      <xdr:rowOff>138544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2684653-BBB3-475C-B91C-8639DF36BB68}"/>
            </a:ext>
          </a:extLst>
        </xdr:cNvPr>
        <xdr:cNvCxnSpPr/>
      </xdr:nvCxnSpPr>
      <xdr:spPr>
        <a:xfrm>
          <a:off x="8390660" y="5723659"/>
          <a:ext cx="0" cy="5870862"/>
        </a:xfrm>
        <a:prstGeom prst="line">
          <a:avLst/>
        </a:prstGeom>
        <a:ln w="28575"/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580159</xdr:colOff>
      <xdr:row>35</xdr:row>
      <xdr:rowOff>51954</xdr:rowOff>
    </xdr:from>
    <xdr:to>
      <xdr:col>16</xdr:col>
      <xdr:colOff>303068</xdr:colOff>
      <xdr:row>35</xdr:row>
      <xdr:rowOff>51954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69138BA-267F-490A-861C-B3730A579F3E}"/>
            </a:ext>
          </a:extLst>
        </xdr:cNvPr>
        <xdr:cNvCxnSpPr/>
      </xdr:nvCxnSpPr>
      <xdr:spPr>
        <a:xfrm flipH="1">
          <a:off x="6641523" y="6416386"/>
          <a:ext cx="335972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76199</xdr:colOff>
      <xdr:row>31</xdr:row>
      <xdr:rowOff>34638</xdr:rowOff>
    </xdr:from>
    <xdr:to>
      <xdr:col>23</xdr:col>
      <xdr:colOff>69273</xdr:colOff>
      <xdr:row>40</xdr:row>
      <xdr:rowOff>164524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28473AA1-B8D7-4B46-81E6-40D59BD9AD5D}"/>
            </a:ext>
          </a:extLst>
        </xdr:cNvPr>
        <xdr:cNvSpPr/>
      </xdr:nvSpPr>
      <xdr:spPr>
        <a:xfrm>
          <a:off x="10380517" y="5671706"/>
          <a:ext cx="3629892" cy="1766454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69273</xdr:colOff>
      <xdr:row>44</xdr:row>
      <xdr:rowOff>69273</xdr:rowOff>
    </xdr:from>
    <xdr:to>
      <xdr:col>23</xdr:col>
      <xdr:colOff>138546</xdr:colOff>
      <xdr:row>54</xdr:row>
      <xdr:rowOff>69273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776C554C-247B-45A8-8EA0-8FE36E11C4E7}"/>
            </a:ext>
          </a:extLst>
        </xdr:cNvPr>
        <xdr:cNvSpPr/>
      </xdr:nvSpPr>
      <xdr:spPr>
        <a:xfrm>
          <a:off x="10373591" y="8070273"/>
          <a:ext cx="3706091" cy="1818409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11</xdr:col>
      <xdr:colOff>102308</xdr:colOff>
      <xdr:row>9</xdr:row>
      <xdr:rowOff>176287</xdr:rowOff>
    </xdr:from>
    <xdr:ext cx="600677" cy="593304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73F417B-0B1D-438C-A79B-26785AE99A0D}"/>
            </a:ext>
          </a:extLst>
        </xdr:cNvPr>
        <xdr:cNvSpPr/>
      </xdr:nvSpPr>
      <xdr:spPr>
        <a:xfrm>
          <a:off x="6769808" y="1812855"/>
          <a:ext cx="600677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99</a:t>
          </a:r>
        </a:p>
      </xdr:txBody>
    </xdr:sp>
    <xdr:clientData/>
  </xdr:oneCellAnchor>
  <xdr:oneCellAnchor>
    <xdr:from>
      <xdr:col>9</xdr:col>
      <xdr:colOff>514358</xdr:colOff>
      <xdr:row>13</xdr:row>
      <xdr:rowOff>3106</xdr:rowOff>
    </xdr:from>
    <xdr:ext cx="2166491" cy="718530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299FB0F-9AC9-4CDD-B515-EB3551221238}"/>
            </a:ext>
          </a:extLst>
        </xdr:cNvPr>
        <xdr:cNvSpPr/>
      </xdr:nvSpPr>
      <xdr:spPr>
        <a:xfrm>
          <a:off x="5969585" y="2367038"/>
          <a:ext cx="2166491" cy="71853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EMPLOYEES</a:t>
          </a:r>
        </a:p>
        <a:p>
          <a:pPr algn="ctr"/>
          <a:endParaRPr lang="en-U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LIMAH BASHIR" refreshedDate="46239.474730555557" createdVersion="7" refreshedVersion="7" minRefreshableVersion="3" recordCount="99" xr:uid="{AB01DD41-3BF9-43E0-AF0A-3D222D82652A}">
  <cacheSource type="worksheet">
    <worksheetSource name="Table1"/>
  </cacheSource>
  <cacheFields count="19">
    <cacheField name="S/N" numFmtId="0">
      <sharedItems containsSemiMixedTypes="0" containsString="0" containsNumber="1" containsInteger="1" minValue="1" maxValue="99"/>
    </cacheField>
    <cacheField name="EMPLOYEE ID" numFmtId="0">
      <sharedItems containsSemiMixedTypes="0" containsString="0" containsNumber="1" containsInteger="1" minValue="10001" maxValue="10099"/>
    </cacheField>
    <cacheField name="NAME" numFmtId="0">
      <sharedItems/>
    </cacheField>
    <cacheField name="LEVEL" numFmtId="0">
      <sharedItems containsSemiMixedTypes="0" containsString="0" containsNumber="1" containsInteger="1" minValue="1" maxValue="17" count="17">
        <n v="1"/>
        <n v="7"/>
        <n v="13"/>
        <n v="2"/>
        <n v="8"/>
        <n v="14"/>
        <n v="3"/>
        <n v="9"/>
        <n v="15"/>
        <n v="4"/>
        <n v="10"/>
        <n v="16"/>
        <n v="5"/>
        <n v="11"/>
        <n v="17"/>
        <n v="6"/>
        <n v="12"/>
      </sharedItems>
    </cacheField>
    <cacheField name="STATUS" numFmtId="0">
      <sharedItems count="3">
        <s v="CLERK"/>
        <s v="JUNIOR"/>
        <s v="SENIOR"/>
      </sharedItems>
    </cacheField>
    <cacheField name="DEPARTMENT" numFmtId="0">
      <sharedItems count="4">
        <s v="ACCOUNTING"/>
        <s v="SALES"/>
        <s v="IT"/>
        <s v="ENGINEERING"/>
      </sharedItems>
    </cacheField>
    <cacheField name="BASIC SALARY" numFmtId="43">
      <sharedItems containsSemiMixedTypes="0" containsString="0" containsNumber="1" containsInteger="1" minValue="70000" maxValue="211263"/>
    </cacheField>
    <cacheField name="HOUSING (25%)" numFmtId="43">
      <sharedItems containsSemiMixedTypes="0" containsString="0" containsNumber="1" minValue="17500" maxValue="52815.75"/>
    </cacheField>
    <cacheField name="MEDICAL (10%)" numFmtId="43">
      <sharedItems containsSemiMixedTypes="0" containsString="0" containsNumber="1" minValue="7000" maxValue="21126.300000000003"/>
    </cacheField>
    <cacheField name="TRANSPORT(12.5%)" numFmtId="43">
      <sharedItems containsSemiMixedTypes="0" containsString="0" containsNumber="1" minValue="8750" maxValue="26407.875"/>
    </cacheField>
    <cacheField name="WELFARE (5.7%)" numFmtId="43">
      <sharedItems containsSemiMixedTypes="0" containsString="0" containsNumber="1" minValue="3990" maxValue="12041.991"/>
    </cacheField>
    <cacheField name="BONUS (3.2%)" numFmtId="43">
      <sharedItems containsSemiMixedTypes="0" containsString="0" containsNumber="1" minValue="2240" maxValue="6760.4160000000002"/>
    </cacheField>
    <cacheField name="GROSS EARN" numFmtId="43">
      <sharedItems containsSemiMixedTypes="0" containsString="0" containsNumber="1" minValue="109480" maxValue="330415.33199999999"/>
    </cacheField>
    <cacheField name="TAX PER MON (1.25%)" numFmtId="43">
      <sharedItems containsSemiMixedTypes="0" containsString="0" containsNumber="1" minValue="1368.5" maxValue="4130.1916499999998"/>
    </cacheField>
    <cacheField name="NET EARN" numFmtId="43">
      <sharedItems containsSemiMixedTypes="0" containsString="0" containsNumber="1" minValue="108111.5" maxValue="326285.14035"/>
    </cacheField>
    <cacheField name="ANNUAL NET" numFmtId="43">
      <sharedItems containsSemiMixedTypes="0" containsString="0" containsNumber="1" minValue="1297338" maxValue="3915421.6842"/>
    </cacheField>
    <cacheField name="ANNUAL TAX" numFmtId="43">
      <sharedItems containsSemiMixedTypes="0" containsString="0" containsNumber="1" minValue="16422" maxValue="49562.299799999993"/>
    </cacheField>
    <cacheField name="ACTUAL TAX" numFmtId="43">
      <sharedItems containsSemiMixedTypes="0" containsString="0" containsNumber="1" minValue="194600.69999999998" maxValue="978855.42105"/>
    </cacheField>
    <cacheField name="ACTUAL NET" numFmtId="43">
      <sharedItems containsSemiMixedTypes="0" containsString="0" containsNumber="1" minValue="1102737.3" maxValue="2936566.263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"/>
    <n v="10001"/>
    <s v="Bashir Halimah"/>
    <x v="0"/>
    <x v="0"/>
    <x v="0"/>
    <n v="70000"/>
    <n v="17500"/>
    <n v="7000"/>
    <n v="8750"/>
    <n v="3990"/>
    <n v="2240"/>
    <n v="109480"/>
    <n v="1368.5"/>
    <n v="108111.5"/>
    <n v="1297338"/>
    <n v="16422"/>
    <n v="194600.69999999998"/>
    <n v="1102737.3"/>
  </r>
  <r>
    <n v="2"/>
    <n v="10002"/>
    <s v="Ola Titi"/>
    <x v="1"/>
    <x v="1"/>
    <x v="1"/>
    <n v="102900"/>
    <n v="25725"/>
    <n v="10290"/>
    <n v="12862.5"/>
    <n v="5865.3"/>
    <n v="3292.8"/>
    <n v="160935.59999999998"/>
    <n v="2011.6949999999997"/>
    <n v="158923.90499999997"/>
    <n v="1907086.8599999996"/>
    <n v="24140.339999999997"/>
    <n v="286063.02899999992"/>
    <n v="1621023.8309999998"/>
  </r>
  <r>
    <n v="3"/>
    <n v="10003"/>
    <s v="Bello Musa"/>
    <x v="2"/>
    <x v="2"/>
    <x v="2"/>
    <n v="151263"/>
    <n v="37815.75"/>
    <n v="15126.300000000001"/>
    <n v="18907.875"/>
    <n v="8621.991"/>
    <n v="4840.4160000000002"/>
    <n v="236575.33199999999"/>
    <n v="2957.1916500000002"/>
    <n v="233618.14035"/>
    <n v="2803417.6842"/>
    <n v="35486.299800000001"/>
    <n v="700854.42105"/>
    <n v="2102563.26315"/>
  </r>
  <r>
    <n v="4"/>
    <n v="10004"/>
    <s v="Okafor Chidi"/>
    <x v="3"/>
    <x v="0"/>
    <x v="3"/>
    <n v="75000"/>
    <n v="18750"/>
    <n v="7500"/>
    <n v="9375"/>
    <n v="4275"/>
    <n v="2400"/>
    <n v="117300"/>
    <n v="1466.25"/>
    <n v="115833.75"/>
    <n v="1390005"/>
    <n v="17595"/>
    <n v="208500.75"/>
    <n v="1181504.25"/>
  </r>
  <r>
    <n v="5"/>
    <n v="10005"/>
    <s v="Yusuf Zara"/>
    <x v="4"/>
    <x v="1"/>
    <x v="0"/>
    <n v="112900"/>
    <n v="28225"/>
    <n v="11290"/>
    <n v="14112.5"/>
    <n v="6435.3"/>
    <n v="3612.8"/>
    <n v="176575.59999999998"/>
    <n v="2207.1949999999997"/>
    <n v="174368.40499999997"/>
    <n v="2092420.8599999996"/>
    <n v="26486.339999999997"/>
    <n v="313863.12899999996"/>
    <n v="1778557.7309999997"/>
  </r>
  <r>
    <n v="6"/>
    <n v="10006"/>
    <s v="Adewale Bola"/>
    <x v="5"/>
    <x v="2"/>
    <x v="1"/>
    <n v="166263"/>
    <n v="41565.75"/>
    <n v="16626.3"/>
    <n v="20782.875"/>
    <n v="9476.991"/>
    <n v="5320.4160000000002"/>
    <n v="260035.33199999999"/>
    <n v="3250.4416500000002"/>
    <n v="256784.89035"/>
    <n v="3081418.6842"/>
    <n v="39005.299800000001"/>
    <n v="770354.67105"/>
    <n v="2311064.01315"/>
  </r>
  <r>
    <n v="7"/>
    <n v="10007"/>
    <s v="Etim Grace"/>
    <x v="6"/>
    <x v="0"/>
    <x v="3"/>
    <n v="80000"/>
    <n v="20000"/>
    <n v="8000"/>
    <n v="10000"/>
    <n v="4560"/>
    <n v="2560"/>
    <n v="125120"/>
    <n v="1564"/>
    <n v="123556"/>
    <n v="1482672"/>
    <n v="18768"/>
    <n v="222400.8"/>
    <n v="1260271.2"/>
  </r>
  <r>
    <n v="8"/>
    <n v="10008"/>
    <s v="Nwosu Kelvin"/>
    <x v="7"/>
    <x v="1"/>
    <x v="0"/>
    <n v="122900"/>
    <n v="30725"/>
    <n v="12290"/>
    <n v="15362.5"/>
    <n v="7005.3"/>
    <n v="3932.8"/>
    <n v="192215.59999999998"/>
    <n v="2402.6949999999997"/>
    <n v="189812.90499999997"/>
    <n v="2277754.8599999994"/>
    <n v="28832.339999999997"/>
    <n v="341663.22899999988"/>
    <n v="1936091.6309999996"/>
  </r>
  <r>
    <n v="9"/>
    <n v="10009"/>
    <s v="Garba Amina"/>
    <x v="8"/>
    <x v="2"/>
    <x v="1"/>
    <n v="181263"/>
    <n v="45315.75"/>
    <n v="18126.3"/>
    <n v="22657.875"/>
    <n v="10331.991"/>
    <n v="5800.4160000000002"/>
    <n v="283495.33199999999"/>
    <n v="3543.6916500000002"/>
    <n v="279951.64035"/>
    <n v="3359419.6842"/>
    <n v="42524.299800000001"/>
    <n v="839854.92105"/>
    <n v="2519564.76315"/>
  </r>
  <r>
    <n v="10"/>
    <n v="10010"/>
    <s v="Okon Peace"/>
    <x v="9"/>
    <x v="0"/>
    <x v="3"/>
    <n v="85000"/>
    <n v="21250"/>
    <n v="8500"/>
    <n v="10625"/>
    <n v="4845"/>
    <n v="2720"/>
    <n v="132940"/>
    <n v="1661.75"/>
    <n v="131278.25"/>
    <n v="1575339"/>
    <n v="19941"/>
    <n v="236300.84999999998"/>
    <n v="1339038.1499999999"/>
  </r>
  <r>
    <n v="11"/>
    <n v="10011"/>
    <s v="Chukwu Ify"/>
    <x v="10"/>
    <x v="1"/>
    <x v="1"/>
    <n v="132900"/>
    <n v="33225"/>
    <n v="13290"/>
    <n v="16612.5"/>
    <n v="7575.3"/>
    <n v="4252.8"/>
    <n v="207855.59999999998"/>
    <n v="2598.1949999999997"/>
    <n v="205257.40499999997"/>
    <n v="2463088.8599999994"/>
    <n v="31178.339999999997"/>
    <n v="369463.32899999991"/>
    <n v="2093625.5309999995"/>
  </r>
  <r>
    <n v="12"/>
    <n v="10012"/>
    <s v="Salami Kunle"/>
    <x v="11"/>
    <x v="2"/>
    <x v="0"/>
    <n v="196263"/>
    <n v="49065.75"/>
    <n v="19626.3"/>
    <n v="24532.875"/>
    <n v="11186.991"/>
    <n v="6280.4160000000002"/>
    <n v="306955.33199999999"/>
    <n v="3836.9416500000002"/>
    <n v="303118.39035"/>
    <n v="3637420.6842"/>
    <n v="46043.299800000001"/>
    <n v="909355.17105"/>
    <n v="2728065.51315"/>
  </r>
  <r>
    <n v="13"/>
    <n v="10013"/>
    <s v="Danjuma Sadiq"/>
    <x v="12"/>
    <x v="0"/>
    <x v="0"/>
    <n v="90000"/>
    <n v="22500"/>
    <n v="9000"/>
    <n v="11250"/>
    <n v="5130"/>
    <n v="2880"/>
    <n v="140760"/>
    <n v="1759.5"/>
    <n v="139000.5"/>
    <n v="1668006"/>
    <n v="21114"/>
    <n v="250200.9"/>
    <n v="1417805.1"/>
  </r>
  <r>
    <n v="14"/>
    <n v="10014"/>
    <s v="Eze Nkim"/>
    <x v="13"/>
    <x v="1"/>
    <x v="1"/>
    <n v="142900"/>
    <n v="35725"/>
    <n v="14290"/>
    <n v="17862.5"/>
    <n v="8145.3"/>
    <n v="4572.8"/>
    <n v="223495.59999999998"/>
    <n v="2793.6949999999997"/>
    <n v="220701.90499999997"/>
    <n v="2648422.8599999994"/>
    <n v="33524.339999999997"/>
    <n v="662105.71499999985"/>
    <n v="1986317.1449999996"/>
  </r>
  <r>
    <n v="15"/>
    <n v="10015"/>
    <s v="Ibrahim Fatima"/>
    <x v="14"/>
    <x v="2"/>
    <x v="2"/>
    <n v="211263"/>
    <n v="52815.75"/>
    <n v="21126.300000000003"/>
    <n v="26407.875"/>
    <n v="12041.991"/>
    <n v="6760.4160000000002"/>
    <n v="330415.33199999999"/>
    <n v="4130.1916499999998"/>
    <n v="326285.14035"/>
    <n v="3915421.6842"/>
    <n v="49562.299799999993"/>
    <n v="978855.42105"/>
    <n v="2936566.26315"/>
  </r>
  <r>
    <n v="16"/>
    <n v="10016"/>
    <s v="Ade Segun"/>
    <x v="15"/>
    <x v="0"/>
    <x v="3"/>
    <n v="95000"/>
    <n v="23750"/>
    <n v="9500"/>
    <n v="11875"/>
    <n v="5415"/>
    <n v="3040"/>
    <n v="148580"/>
    <n v="1857.25"/>
    <n v="146722.75"/>
    <n v="1760673"/>
    <n v="22287"/>
    <n v="264100.95"/>
    <n v="1496572.05"/>
  </r>
  <r>
    <n v="17"/>
    <n v="10017"/>
    <s v="Umar Habib"/>
    <x v="16"/>
    <x v="1"/>
    <x v="0"/>
    <n v="152900"/>
    <n v="38225"/>
    <n v="15290"/>
    <n v="19112.5"/>
    <n v="8715.3000000000011"/>
    <n v="4892.8"/>
    <n v="239135.59999999998"/>
    <n v="2989.1949999999997"/>
    <n v="236146.40499999997"/>
    <n v="2833756.8599999994"/>
    <n v="35870.339999999997"/>
    <n v="708439.21499999985"/>
    <n v="2125317.6449999996"/>
  </r>
  <r>
    <n v="18"/>
    <n v="10018"/>
    <s v="Nwosu Kelvin"/>
    <x v="2"/>
    <x v="2"/>
    <x v="1"/>
    <n v="151263"/>
    <n v="37815.75"/>
    <n v="15126.300000000001"/>
    <n v="18907.875"/>
    <n v="8621.991"/>
    <n v="4840.4160000000002"/>
    <n v="236575.33199999999"/>
    <n v="2957.1916500000002"/>
    <n v="233618.14035"/>
    <n v="2803417.6842"/>
    <n v="35486.299800000001"/>
    <n v="700854.42105"/>
    <n v="2102563.26315"/>
  </r>
  <r>
    <n v="19"/>
    <n v="10019"/>
    <s v="Chioma Chidi"/>
    <x v="3"/>
    <x v="0"/>
    <x v="3"/>
    <n v="75000"/>
    <n v="18750"/>
    <n v="7500"/>
    <n v="9375"/>
    <n v="4275"/>
    <n v="2400"/>
    <n v="117300"/>
    <n v="1466.25"/>
    <n v="115833.75"/>
    <n v="1390005"/>
    <n v="17595"/>
    <n v="208500.75"/>
    <n v="1181504.25"/>
  </r>
  <r>
    <n v="20"/>
    <n v="10020"/>
    <s v="Balogun Wale"/>
    <x v="4"/>
    <x v="1"/>
    <x v="0"/>
    <n v="112900"/>
    <n v="28225"/>
    <n v="11290"/>
    <n v="14112.5"/>
    <n v="6435.3"/>
    <n v="3612.8"/>
    <n v="176575.59999999998"/>
    <n v="2207.1949999999997"/>
    <n v="174368.40499999997"/>
    <n v="2092420.8599999996"/>
    <n v="26486.339999999997"/>
    <n v="313863.12899999996"/>
    <n v="1778557.7309999997"/>
  </r>
  <r>
    <n v="21"/>
    <n v="10021"/>
    <s v="Adamu Rasak"/>
    <x v="5"/>
    <x v="2"/>
    <x v="1"/>
    <n v="166263"/>
    <n v="41565.75"/>
    <n v="16626.3"/>
    <n v="20782.875"/>
    <n v="9476.991"/>
    <n v="5320.4160000000002"/>
    <n v="260035.33199999999"/>
    <n v="3250.4416500000002"/>
    <n v="256784.89035"/>
    <n v="3081418.6842"/>
    <n v="39005.299800000001"/>
    <n v="770354.67105"/>
    <n v="2311064.01315"/>
  </r>
  <r>
    <n v="22"/>
    <n v="10022"/>
    <s v="Nwafor Tobi"/>
    <x v="6"/>
    <x v="0"/>
    <x v="3"/>
    <n v="80000"/>
    <n v="20000"/>
    <n v="8000"/>
    <n v="10000"/>
    <n v="4560"/>
    <n v="2560"/>
    <n v="125120"/>
    <n v="1564"/>
    <n v="123556"/>
    <n v="1482672"/>
    <n v="18768"/>
    <n v="222400.8"/>
    <n v="1260271.2"/>
  </r>
  <r>
    <n v="23"/>
    <n v="10023"/>
    <s v="Yakubu Musa"/>
    <x v="7"/>
    <x v="1"/>
    <x v="1"/>
    <n v="122900"/>
    <n v="30725"/>
    <n v="12290"/>
    <n v="15362.5"/>
    <n v="7005.3"/>
    <n v="3932.8"/>
    <n v="192215.59999999998"/>
    <n v="2402.6949999999997"/>
    <n v="189812.90499999997"/>
    <n v="2277754.8599999994"/>
    <n v="28832.339999999997"/>
    <n v="341663.22899999988"/>
    <n v="1936091.6309999996"/>
  </r>
  <r>
    <n v="24"/>
    <n v="10024"/>
    <s v="Efflong Comfort"/>
    <x v="8"/>
    <x v="2"/>
    <x v="0"/>
    <n v="181263"/>
    <n v="45315.75"/>
    <n v="18126.3"/>
    <n v="22657.875"/>
    <n v="10331.991"/>
    <n v="5800.4160000000002"/>
    <n v="283495.33199999999"/>
    <n v="3543.6916500000002"/>
    <n v="279951.64035"/>
    <n v="3359419.6842"/>
    <n v="42524.299800000001"/>
    <n v="839854.92105"/>
    <n v="2519564.76315"/>
  </r>
  <r>
    <n v="25"/>
    <n v="10025"/>
    <s v="Aliyu Aisha"/>
    <x v="9"/>
    <x v="0"/>
    <x v="0"/>
    <n v="85000"/>
    <n v="21250"/>
    <n v="8500"/>
    <n v="10625"/>
    <n v="4845"/>
    <n v="2720"/>
    <n v="132940"/>
    <n v="1661.75"/>
    <n v="131278.25"/>
    <n v="1575339"/>
    <n v="19941"/>
    <n v="236300.84999999998"/>
    <n v="1339038.1499999999"/>
  </r>
  <r>
    <n v="26"/>
    <n v="10026"/>
    <s v="Ogunleye Bayo"/>
    <x v="10"/>
    <x v="1"/>
    <x v="1"/>
    <n v="132900"/>
    <n v="33225"/>
    <n v="13290"/>
    <n v="16612.5"/>
    <n v="7575.3"/>
    <n v="4252.8"/>
    <n v="207855.59999999998"/>
    <n v="2598.1949999999997"/>
    <n v="205257.40499999997"/>
    <n v="2463088.8599999994"/>
    <n v="31178.339999999997"/>
    <n v="369463.32899999991"/>
    <n v="2093625.5309999995"/>
  </r>
  <r>
    <n v="27"/>
    <n v="10027"/>
    <s v="Akande Faidat"/>
    <x v="11"/>
    <x v="2"/>
    <x v="2"/>
    <n v="196263"/>
    <n v="49065.75"/>
    <n v="19626.3"/>
    <n v="24532.875"/>
    <n v="11186.991"/>
    <n v="6280.4160000000002"/>
    <n v="306955.33199999999"/>
    <n v="3836.9416500000002"/>
    <n v="303118.39035"/>
    <n v="3637420.6842"/>
    <n v="46043.299800000001"/>
    <n v="909355.17105"/>
    <n v="2728065.51315"/>
  </r>
  <r>
    <n v="28"/>
    <n v="10028"/>
    <s v="Ojelabi Cecilia"/>
    <x v="12"/>
    <x v="0"/>
    <x v="3"/>
    <n v="90000"/>
    <n v="22500"/>
    <n v="9000"/>
    <n v="11250"/>
    <n v="5130"/>
    <n v="2880"/>
    <n v="140760"/>
    <n v="1759.5"/>
    <n v="139000.5"/>
    <n v="1668006"/>
    <n v="21114"/>
    <n v="250200.9"/>
    <n v="1417805.1"/>
  </r>
  <r>
    <n v="29"/>
    <n v="10029"/>
    <s v="Hameerah Eniola"/>
    <x v="13"/>
    <x v="1"/>
    <x v="0"/>
    <n v="142900"/>
    <n v="35725"/>
    <n v="14290"/>
    <n v="17862.5"/>
    <n v="8145.3"/>
    <n v="4572.8"/>
    <n v="223495.59999999998"/>
    <n v="2793.6949999999997"/>
    <n v="220701.90499999997"/>
    <n v="2648422.8599999994"/>
    <n v="33524.339999999997"/>
    <n v="662105.71499999985"/>
    <n v="1986317.1449999996"/>
  </r>
  <r>
    <n v="30"/>
    <n v="10030"/>
    <s v="Haassan Ola"/>
    <x v="14"/>
    <x v="2"/>
    <x v="1"/>
    <n v="211263"/>
    <n v="52815.75"/>
    <n v="21126.300000000003"/>
    <n v="26407.875"/>
    <n v="12041.991"/>
    <n v="6760.4160000000002"/>
    <n v="330415.33199999999"/>
    <n v="4130.1916499999998"/>
    <n v="326285.14035"/>
    <n v="3915421.6842"/>
    <n v="49562.299799999993"/>
    <n v="978855.42105"/>
    <n v="2936566.26315"/>
  </r>
  <r>
    <n v="31"/>
    <n v="10031"/>
    <s v="Bala Sani"/>
    <x v="15"/>
    <x v="0"/>
    <x v="3"/>
    <n v="95000"/>
    <n v="23750"/>
    <n v="9500"/>
    <n v="11875"/>
    <n v="5415"/>
    <n v="3040"/>
    <n v="148580"/>
    <n v="1857.25"/>
    <n v="146722.75"/>
    <n v="1760673"/>
    <n v="22287"/>
    <n v="264100.95"/>
    <n v="1496572.05"/>
  </r>
  <r>
    <n v="32"/>
    <n v="10032"/>
    <s v="Lawal Aminu"/>
    <x v="16"/>
    <x v="1"/>
    <x v="0"/>
    <n v="152900"/>
    <n v="38225"/>
    <n v="15290"/>
    <n v="19112.5"/>
    <n v="8715.3000000000011"/>
    <n v="4892.8"/>
    <n v="239135.59999999998"/>
    <n v="2989.1949999999997"/>
    <n v="236146.40499999997"/>
    <n v="2833756.8599999994"/>
    <n v="35870.339999999997"/>
    <n v="708439.21499999985"/>
    <n v="2125317.6449999996"/>
  </r>
  <r>
    <n v="33"/>
    <n v="10033"/>
    <s v="Eze Chiwe"/>
    <x v="2"/>
    <x v="2"/>
    <x v="1"/>
    <n v="151263"/>
    <n v="37815.75"/>
    <n v="15126.300000000001"/>
    <n v="18907.875"/>
    <n v="8621.991"/>
    <n v="4840.4160000000002"/>
    <n v="236575.33199999999"/>
    <n v="2957.1916500000002"/>
    <n v="233618.14035"/>
    <n v="2803417.6842"/>
    <n v="35486.299800000001"/>
    <n v="700854.42105"/>
    <n v="2102563.26315"/>
  </r>
  <r>
    <n v="34"/>
    <n v="10034"/>
    <s v="Ojo Titi"/>
    <x v="0"/>
    <x v="0"/>
    <x v="3"/>
    <n v="70000"/>
    <n v="17500"/>
    <n v="7000"/>
    <n v="8750"/>
    <n v="3990"/>
    <n v="2240"/>
    <n v="109480"/>
    <n v="1368.5"/>
    <n v="108111.5"/>
    <n v="1297338"/>
    <n v="16422"/>
    <n v="194600.69999999998"/>
    <n v="1102737.3"/>
  </r>
  <r>
    <n v="35"/>
    <n v="10035"/>
    <s v="Ahmed Sani"/>
    <x v="1"/>
    <x v="1"/>
    <x v="1"/>
    <n v="102900"/>
    <n v="25725"/>
    <n v="10290"/>
    <n v="12862.5"/>
    <n v="5865.3"/>
    <n v="3292.8"/>
    <n v="160935.59999999998"/>
    <n v="2011.6949999999997"/>
    <n v="158923.90499999997"/>
    <n v="1907086.8599999996"/>
    <n v="24140.339999999997"/>
    <n v="286063.02899999992"/>
    <n v="1621023.8309999998"/>
  </r>
  <r>
    <n v="36"/>
    <n v="10036"/>
    <s v="Muhameed Bashir"/>
    <x v="5"/>
    <x v="2"/>
    <x v="0"/>
    <n v="166263"/>
    <n v="41565.75"/>
    <n v="16626.3"/>
    <n v="20782.875"/>
    <n v="9476.991"/>
    <n v="5320.4160000000002"/>
    <n v="260035.33199999999"/>
    <n v="3250.4416500000002"/>
    <n v="256784.89035"/>
    <n v="3081418.6842"/>
    <n v="39005.299800000001"/>
    <n v="770354.67105"/>
    <n v="2311064.01315"/>
  </r>
  <r>
    <n v="37"/>
    <n v="10037"/>
    <s v="Ekpo Doris"/>
    <x v="3"/>
    <x v="0"/>
    <x v="0"/>
    <n v="75000"/>
    <n v="18750"/>
    <n v="7500"/>
    <n v="9375"/>
    <n v="4275"/>
    <n v="2400"/>
    <n v="117300"/>
    <n v="1466.25"/>
    <n v="115833.75"/>
    <n v="1390005"/>
    <n v="17595"/>
    <n v="208500.75"/>
    <n v="1181504.25"/>
  </r>
  <r>
    <n v="38"/>
    <n v="10038"/>
    <s v="Adekoya Wale"/>
    <x v="4"/>
    <x v="1"/>
    <x v="1"/>
    <n v="112900"/>
    <n v="28225"/>
    <n v="11290"/>
    <n v="14112.5"/>
    <n v="6435.3"/>
    <n v="3612.8"/>
    <n v="176575.59999999998"/>
    <n v="2207.1949999999997"/>
    <n v="174368.40499999997"/>
    <n v="2092420.8599999996"/>
    <n v="26486.339999999997"/>
    <n v="313863.12899999996"/>
    <n v="1778557.7309999997"/>
  </r>
  <r>
    <n v="39"/>
    <n v="10039"/>
    <s v="Etuk Godwin"/>
    <x v="8"/>
    <x v="2"/>
    <x v="2"/>
    <n v="181263"/>
    <n v="45315.75"/>
    <n v="18126.3"/>
    <n v="22657.875"/>
    <n v="10331.991"/>
    <n v="5800.4160000000002"/>
    <n v="283495.33199999999"/>
    <n v="3543.6916500000002"/>
    <n v="279951.64035"/>
    <n v="3359419.6842"/>
    <n v="42524.299800000001"/>
    <n v="839854.92105"/>
    <n v="2519564.76315"/>
  </r>
  <r>
    <n v="40"/>
    <n v="10040"/>
    <s v="Garba Hassan"/>
    <x v="6"/>
    <x v="0"/>
    <x v="3"/>
    <n v="80000"/>
    <n v="20000"/>
    <n v="8000"/>
    <n v="10000"/>
    <n v="4560"/>
    <n v="2560"/>
    <n v="125120"/>
    <n v="1564"/>
    <n v="123556"/>
    <n v="1482672"/>
    <n v="18768"/>
    <n v="222400.8"/>
    <n v="1260271.2"/>
  </r>
  <r>
    <n v="41"/>
    <n v="10041"/>
    <s v="Bello Zainab"/>
    <x v="7"/>
    <x v="1"/>
    <x v="0"/>
    <n v="122900"/>
    <n v="30725"/>
    <n v="12290"/>
    <n v="15362.5"/>
    <n v="7005.3"/>
    <n v="3932.8"/>
    <n v="192215.59999999998"/>
    <n v="2402.6949999999997"/>
    <n v="189812.90499999997"/>
    <n v="2277754.8599999994"/>
    <n v="28832.339999999997"/>
    <n v="341663.22899999988"/>
    <n v="1936091.6309999996"/>
  </r>
  <r>
    <n v="42"/>
    <n v="10042"/>
    <s v="Nwosu Chidiogo"/>
    <x v="11"/>
    <x v="2"/>
    <x v="1"/>
    <n v="196263"/>
    <n v="49065.75"/>
    <n v="19626.3"/>
    <n v="24532.875"/>
    <n v="11186.991"/>
    <n v="6280.4160000000002"/>
    <n v="306955.33199999999"/>
    <n v="3836.9416500000002"/>
    <n v="303118.39035"/>
    <n v="3637420.6842"/>
    <n v="46043.299800000001"/>
    <n v="909355.17105"/>
    <n v="2728065.51315"/>
  </r>
  <r>
    <n v="43"/>
    <n v="10043"/>
    <s v="Alade Femi"/>
    <x v="9"/>
    <x v="0"/>
    <x v="3"/>
    <n v="85000"/>
    <n v="21250"/>
    <n v="8500"/>
    <n v="10625"/>
    <n v="4845"/>
    <n v="2720"/>
    <n v="132940"/>
    <n v="1661.75"/>
    <n v="131278.25"/>
    <n v="1575339"/>
    <n v="19941"/>
    <n v="236300.84999999998"/>
    <n v="1339038.1499999999"/>
  </r>
  <r>
    <n v="44"/>
    <n v="10044"/>
    <s v="Adeyinka Kemi"/>
    <x v="10"/>
    <x v="1"/>
    <x v="0"/>
    <n v="132900"/>
    <n v="33225"/>
    <n v="13290"/>
    <n v="16612.5"/>
    <n v="7575.3"/>
    <n v="4252.8"/>
    <n v="207855.59999999998"/>
    <n v="2598.1949999999997"/>
    <n v="205257.40499999997"/>
    <n v="2463088.8599999994"/>
    <n v="31178.339999999997"/>
    <n v="369463.32899999991"/>
    <n v="2093625.5309999995"/>
  </r>
  <r>
    <n v="45"/>
    <n v="10045"/>
    <s v="Ogunbiyi Bola"/>
    <x v="8"/>
    <x v="2"/>
    <x v="1"/>
    <n v="181263"/>
    <n v="45315.75"/>
    <n v="18126.3"/>
    <n v="22657.875"/>
    <n v="10331.991"/>
    <n v="5800.4160000000002"/>
    <n v="283495.33199999999"/>
    <n v="3543.6916500000002"/>
    <n v="279951.64035"/>
    <n v="3359419.6842"/>
    <n v="42524.299800000001"/>
    <n v="839854.92105"/>
    <n v="2519564.76315"/>
  </r>
  <r>
    <n v="46"/>
    <n v="10046"/>
    <s v="Okeke Chuku"/>
    <x v="12"/>
    <x v="0"/>
    <x v="3"/>
    <n v="90000"/>
    <n v="22500"/>
    <n v="9000"/>
    <n v="11250"/>
    <n v="5130"/>
    <n v="2880"/>
    <n v="140760"/>
    <n v="1759.5"/>
    <n v="139000.5"/>
    <n v="1668006"/>
    <n v="21114"/>
    <n v="250200.9"/>
    <n v="1417805.1"/>
  </r>
  <r>
    <n v="47"/>
    <n v="10047"/>
    <s v="Chukwu Ify"/>
    <x v="13"/>
    <x v="1"/>
    <x v="1"/>
    <n v="142900"/>
    <n v="35725"/>
    <n v="14290"/>
    <n v="17862.5"/>
    <n v="8145.3"/>
    <n v="4572.8"/>
    <n v="223495.59999999998"/>
    <n v="2793.6949999999997"/>
    <n v="220701.90499999997"/>
    <n v="2648422.8599999994"/>
    <n v="33524.339999999997"/>
    <n v="662105.71499999985"/>
    <n v="1986317.1449999996"/>
  </r>
  <r>
    <n v="48"/>
    <n v="10048"/>
    <s v="Bello Aminu"/>
    <x v="11"/>
    <x v="2"/>
    <x v="0"/>
    <n v="196263"/>
    <n v="49065.75"/>
    <n v="19626.3"/>
    <n v="24532.875"/>
    <n v="11186.991"/>
    <n v="6280.4160000000002"/>
    <n v="306955.33199999999"/>
    <n v="3836.9416500000002"/>
    <n v="303118.39035"/>
    <n v="3637420.6842"/>
    <n v="46043.299800000001"/>
    <n v="909355.17105"/>
    <n v="2728065.51315"/>
  </r>
  <r>
    <n v="49"/>
    <n v="10049"/>
    <s v="Joy Ola"/>
    <x v="15"/>
    <x v="0"/>
    <x v="0"/>
    <n v="95000"/>
    <n v="23750"/>
    <n v="9500"/>
    <n v="11875"/>
    <n v="5415"/>
    <n v="3040"/>
    <n v="148580"/>
    <n v="1857.25"/>
    <n v="146722.75"/>
    <n v="1760673"/>
    <n v="22287"/>
    <n v="264100.95"/>
    <n v="1496572.05"/>
  </r>
  <r>
    <n v="50"/>
    <n v="10050"/>
    <s v="Alade Kemi"/>
    <x v="16"/>
    <x v="1"/>
    <x v="1"/>
    <n v="152900"/>
    <n v="38225"/>
    <n v="15290"/>
    <n v="19112.5"/>
    <n v="8715.3000000000011"/>
    <n v="4892.8"/>
    <n v="239135.59999999998"/>
    <n v="2989.1949999999997"/>
    <n v="236146.40499999997"/>
    <n v="2833756.8599999994"/>
    <n v="35870.339999999997"/>
    <n v="708439.21499999985"/>
    <n v="2125317.6449999996"/>
  </r>
  <r>
    <n v="51"/>
    <n v="10051"/>
    <s v="Olkoli Okon"/>
    <x v="14"/>
    <x v="2"/>
    <x v="2"/>
    <n v="211263"/>
    <n v="52815.75"/>
    <n v="21126.300000000003"/>
    <n v="26407.875"/>
    <n v="12041.991"/>
    <n v="6760.4160000000002"/>
    <n v="330415.33199999999"/>
    <n v="4130.1916499999998"/>
    <n v="326285.14035"/>
    <n v="3915421.6842"/>
    <n v="49562.299799999993"/>
    <n v="978855.42105"/>
    <n v="2936566.26315"/>
  </r>
  <r>
    <n v="52"/>
    <n v="10052"/>
    <s v="Umar Nasir"/>
    <x v="0"/>
    <x v="0"/>
    <x v="3"/>
    <n v="70000"/>
    <n v="17500"/>
    <n v="7000"/>
    <n v="8750"/>
    <n v="3990"/>
    <n v="2240"/>
    <n v="109480"/>
    <n v="1368.5"/>
    <n v="108111.5"/>
    <n v="1297338"/>
    <n v="16422"/>
    <n v="194600.69999999998"/>
    <n v="1102737.3"/>
  </r>
  <r>
    <n v="53"/>
    <n v="10053"/>
    <s v="Salami Kunle"/>
    <x v="1"/>
    <x v="1"/>
    <x v="0"/>
    <n v="102900"/>
    <n v="25725"/>
    <n v="10290"/>
    <n v="12862.5"/>
    <n v="5865.3"/>
    <n v="3292.8"/>
    <n v="160935.59999999998"/>
    <n v="2011.6949999999997"/>
    <n v="158923.90499999997"/>
    <n v="1907086.8599999996"/>
    <n v="24140.339999999997"/>
    <n v="286063.02899999992"/>
    <n v="1621023.8309999998"/>
  </r>
  <r>
    <n v="54"/>
    <n v="10054"/>
    <s v="Ojo FOLAKE"/>
    <x v="2"/>
    <x v="2"/>
    <x v="1"/>
    <n v="151263"/>
    <n v="37815.75"/>
    <n v="15126.300000000001"/>
    <n v="18907.875"/>
    <n v="8621.991"/>
    <n v="4840.4160000000002"/>
    <n v="236575.33199999999"/>
    <n v="2957.1916500000002"/>
    <n v="233618.14035"/>
    <n v="2803417.6842"/>
    <n v="35486.299800000001"/>
    <n v="700854.42105"/>
    <n v="2102563.26315"/>
  </r>
  <r>
    <n v="55"/>
    <n v="10055"/>
    <s v="Umeh Ngozi"/>
    <x v="3"/>
    <x v="0"/>
    <x v="3"/>
    <n v="75000"/>
    <n v="18750"/>
    <n v="7500"/>
    <n v="9375"/>
    <n v="4275"/>
    <n v="2400"/>
    <n v="117300"/>
    <n v="1466.25"/>
    <n v="115833.75"/>
    <n v="1390005"/>
    <n v="17595"/>
    <n v="208500.75"/>
    <n v="1181504.25"/>
  </r>
  <r>
    <n v="56"/>
    <n v="10056"/>
    <s v="Adeniran Wunmi"/>
    <x v="4"/>
    <x v="1"/>
    <x v="0"/>
    <n v="112900"/>
    <n v="28225"/>
    <n v="11290"/>
    <n v="14112.5"/>
    <n v="6435.3"/>
    <n v="3612.8"/>
    <n v="176575.59999999998"/>
    <n v="2207.1949999999997"/>
    <n v="174368.40499999997"/>
    <n v="2092420.8599999996"/>
    <n v="26486.339999999997"/>
    <n v="313863.12899999996"/>
    <n v="1778557.7309999997"/>
  </r>
  <r>
    <n v="57"/>
    <n v="10057"/>
    <s v="Ekpo IDRIS"/>
    <x v="5"/>
    <x v="2"/>
    <x v="1"/>
    <n v="166263"/>
    <n v="41565.75"/>
    <n v="16626.3"/>
    <n v="20782.875"/>
    <n v="9476.991"/>
    <n v="5320.4160000000002"/>
    <n v="260035.33199999999"/>
    <n v="3250.4416500000002"/>
    <n v="256784.89035"/>
    <n v="3081418.6842"/>
    <n v="39005.299800000001"/>
    <n v="770354.67105"/>
    <n v="2311064.01315"/>
  </r>
  <r>
    <n v="58"/>
    <n v="10058"/>
    <s v="Wasiu Alade"/>
    <x v="6"/>
    <x v="0"/>
    <x v="3"/>
    <n v="80000"/>
    <n v="20000"/>
    <n v="8000"/>
    <n v="10000"/>
    <n v="4560"/>
    <n v="2560"/>
    <n v="125120"/>
    <n v="1564"/>
    <n v="123556"/>
    <n v="1482672"/>
    <n v="18768"/>
    <n v="222400.8"/>
    <n v="1260271.2"/>
  </r>
  <r>
    <n v="59"/>
    <n v="10059"/>
    <s v="Kuti Aishat"/>
    <x v="7"/>
    <x v="1"/>
    <x v="1"/>
    <n v="122900"/>
    <n v="30725"/>
    <n v="12290"/>
    <n v="15362.5"/>
    <n v="7005.3"/>
    <n v="3932.8"/>
    <n v="192215.59999999998"/>
    <n v="2402.6949999999997"/>
    <n v="189812.90499999997"/>
    <n v="2277754.8599999994"/>
    <n v="28832.339999999997"/>
    <n v="341663.22899999988"/>
    <n v="1936091.6309999996"/>
  </r>
  <r>
    <n v="60"/>
    <n v="10060"/>
    <s v="Okoye CHIDERA"/>
    <x v="8"/>
    <x v="2"/>
    <x v="0"/>
    <n v="181263"/>
    <n v="45315.75"/>
    <n v="18126.3"/>
    <n v="22657.875"/>
    <n v="10331.991"/>
    <n v="5800.4160000000002"/>
    <n v="283495.33199999999"/>
    <n v="3543.6916500000002"/>
    <n v="279951.64035"/>
    <n v="3359419.6842"/>
    <n v="42524.299800000001"/>
    <n v="839854.92105"/>
    <n v="2519564.76315"/>
  </r>
  <r>
    <n v="61"/>
    <n v="10061"/>
    <s v="Danlada Musa"/>
    <x v="9"/>
    <x v="0"/>
    <x v="0"/>
    <n v="85000"/>
    <n v="21250"/>
    <n v="8500"/>
    <n v="10625"/>
    <n v="4845"/>
    <n v="2720"/>
    <n v="132940"/>
    <n v="1661.75"/>
    <n v="131278.25"/>
    <n v="1575339"/>
    <n v="19941"/>
    <n v="236300.84999999998"/>
    <n v="1339038.1499999999"/>
  </r>
  <r>
    <n v="62"/>
    <n v="10062"/>
    <s v="Ronke Ola"/>
    <x v="10"/>
    <x v="1"/>
    <x v="1"/>
    <n v="132900"/>
    <n v="33225"/>
    <n v="13290"/>
    <n v="16612.5"/>
    <n v="7575.3"/>
    <n v="4252.8"/>
    <n v="207855.59999999998"/>
    <n v="2598.1949999999997"/>
    <n v="205257.40499999997"/>
    <n v="2463088.8599999994"/>
    <n v="31178.339999999997"/>
    <n v="369463.32899999991"/>
    <n v="2093625.5309999995"/>
  </r>
  <r>
    <n v="63"/>
    <n v="10063"/>
    <s v="Nwafor Tobi"/>
    <x v="11"/>
    <x v="2"/>
    <x v="2"/>
    <n v="196263"/>
    <n v="49065.75"/>
    <n v="19626.3"/>
    <n v="24532.875"/>
    <n v="11186.991"/>
    <n v="6280.4160000000002"/>
    <n v="306955.33199999999"/>
    <n v="3836.9416500000002"/>
    <n v="303118.39035"/>
    <n v="3637420.6842"/>
    <n v="46043.299800000001"/>
    <n v="909355.17105"/>
    <n v="2728065.51315"/>
  </r>
  <r>
    <n v="64"/>
    <n v="10064"/>
    <s v="Okoro Blessing"/>
    <x v="12"/>
    <x v="0"/>
    <x v="3"/>
    <n v="90000"/>
    <n v="22500"/>
    <n v="9000"/>
    <n v="11250"/>
    <n v="5130"/>
    <n v="2880"/>
    <n v="140760"/>
    <n v="1759.5"/>
    <n v="139000.5"/>
    <n v="1668006"/>
    <n v="21114"/>
    <n v="250200.9"/>
    <n v="1417805.1"/>
  </r>
  <r>
    <n v="65"/>
    <n v="10065"/>
    <s v="Femi Alade"/>
    <x v="13"/>
    <x v="1"/>
    <x v="0"/>
    <n v="142900"/>
    <n v="35725"/>
    <n v="14290"/>
    <n v="17862.5"/>
    <n v="8145.3"/>
    <n v="4572.8"/>
    <n v="223495.59999999998"/>
    <n v="2793.6949999999997"/>
    <n v="220701.90499999997"/>
    <n v="2648422.8599999994"/>
    <n v="33524.339999999997"/>
    <n v="662105.71499999985"/>
    <n v="1986317.1449999996"/>
  </r>
  <r>
    <n v="66"/>
    <n v="10066"/>
    <s v="Tolu Ade"/>
    <x v="14"/>
    <x v="2"/>
    <x v="1"/>
    <n v="211263"/>
    <n v="52815.75"/>
    <n v="21126.300000000003"/>
    <n v="26407.875"/>
    <n v="12041.991"/>
    <n v="6760.4160000000002"/>
    <n v="330415.33199999999"/>
    <n v="4130.1916499999998"/>
    <n v="326285.14035"/>
    <n v="3915421.6842"/>
    <n v="49562.299799999993"/>
    <n v="978855.42105"/>
    <n v="2936566.26315"/>
  </r>
  <r>
    <n v="67"/>
    <n v="10067"/>
    <s v="Chilo Okafor"/>
    <x v="15"/>
    <x v="0"/>
    <x v="3"/>
    <n v="95000"/>
    <n v="23750"/>
    <n v="9500"/>
    <n v="11875"/>
    <n v="5415"/>
    <n v="3040"/>
    <n v="148580"/>
    <n v="1857.25"/>
    <n v="146722.75"/>
    <n v="1760673"/>
    <n v="22287"/>
    <n v="264100.95"/>
    <n v="1496572.05"/>
  </r>
  <r>
    <n v="68"/>
    <n v="10068"/>
    <s v="Adiele Yusuf"/>
    <x v="16"/>
    <x v="1"/>
    <x v="0"/>
    <n v="152900"/>
    <n v="38225"/>
    <n v="15290"/>
    <n v="19112.5"/>
    <n v="8715.3000000000011"/>
    <n v="4892.8"/>
    <n v="239135.59999999998"/>
    <n v="2989.1949999999997"/>
    <n v="236146.40499999997"/>
    <n v="2833756.8599999994"/>
    <n v="35870.339999999997"/>
    <n v="708439.21499999985"/>
    <n v="2125317.6449999996"/>
  </r>
  <r>
    <n v="69"/>
    <n v="10069"/>
    <s v="Kule Sanni"/>
    <x v="0"/>
    <x v="0"/>
    <x v="1"/>
    <n v="70000"/>
    <n v="17500"/>
    <n v="7000"/>
    <n v="8750"/>
    <n v="3990"/>
    <n v="2240"/>
    <n v="109480"/>
    <n v="1368.5"/>
    <n v="108111.5"/>
    <n v="1297338"/>
    <n v="16422"/>
    <n v="194600.69999999998"/>
    <n v="1102737.3"/>
  </r>
  <r>
    <n v="70"/>
    <n v="10070"/>
    <s v="Ify Ola"/>
    <x v="1"/>
    <x v="1"/>
    <x v="3"/>
    <n v="102900"/>
    <n v="25725"/>
    <n v="10290"/>
    <n v="12862.5"/>
    <n v="5865.3"/>
    <n v="3292.8"/>
    <n v="160935.59999999998"/>
    <n v="2011.6949999999997"/>
    <n v="158923.90499999997"/>
    <n v="1907086.8599999996"/>
    <n v="24140.339999999997"/>
    <n v="286063.02899999992"/>
    <n v="1621023.8309999998"/>
  </r>
  <r>
    <n v="71"/>
    <n v="10071"/>
    <s v="Rotimi Aina"/>
    <x v="2"/>
    <x v="2"/>
    <x v="1"/>
    <n v="151263"/>
    <n v="37815.75"/>
    <n v="15126.300000000001"/>
    <n v="18907.875"/>
    <n v="8621.991"/>
    <n v="4840.4160000000002"/>
    <n v="236575.33199999999"/>
    <n v="2957.1916500000002"/>
    <n v="233618.14035"/>
    <n v="2803417.6842"/>
    <n v="35486.299800000001"/>
    <n v="700854.42105"/>
    <n v="2102563.26315"/>
  </r>
  <r>
    <n v="72"/>
    <n v="10072"/>
    <s v="Aiaha Bello"/>
    <x v="3"/>
    <x v="0"/>
    <x v="0"/>
    <n v="75000"/>
    <n v="18750"/>
    <n v="7500"/>
    <n v="9375"/>
    <n v="4275"/>
    <n v="2400"/>
    <n v="117300"/>
    <n v="1466.25"/>
    <n v="115833.75"/>
    <n v="1390005"/>
    <n v="17595"/>
    <n v="208500.75"/>
    <n v="1181504.25"/>
  </r>
  <r>
    <n v="73"/>
    <n v="10073"/>
    <s v="Aminu Lawal"/>
    <x v="4"/>
    <x v="1"/>
    <x v="0"/>
    <n v="112900"/>
    <n v="28225"/>
    <n v="11290"/>
    <n v="14112.5"/>
    <n v="6435.3"/>
    <n v="3612.8"/>
    <n v="176575.59999999998"/>
    <n v="2207.1949999999997"/>
    <n v="174368.40499999997"/>
    <n v="2092420.8599999996"/>
    <n v="26486.339999999997"/>
    <n v="313863.12899999996"/>
    <n v="1778557.7309999997"/>
  </r>
  <r>
    <n v="74"/>
    <n v="10074"/>
    <s v="Wale Fashola"/>
    <x v="5"/>
    <x v="2"/>
    <x v="1"/>
    <n v="166263"/>
    <n v="41565.75"/>
    <n v="16626.3"/>
    <n v="20782.875"/>
    <n v="9476.991"/>
    <n v="5320.4160000000002"/>
    <n v="260035.33199999999"/>
    <n v="3250.4416500000002"/>
    <n v="256784.89035"/>
    <n v="3081418.6842"/>
    <n v="39005.299800000001"/>
    <n v="770354.67105"/>
    <n v="2311064.01315"/>
  </r>
  <r>
    <n v="75"/>
    <n v="10075"/>
    <s v="kenny Bashir"/>
    <x v="6"/>
    <x v="0"/>
    <x v="2"/>
    <n v="80000"/>
    <n v="20000"/>
    <n v="8000"/>
    <n v="10000"/>
    <n v="4560"/>
    <n v="2560"/>
    <n v="125120"/>
    <n v="1564"/>
    <n v="123556"/>
    <n v="1482672"/>
    <n v="18768"/>
    <n v="222400.8"/>
    <n v="1260271.2"/>
  </r>
  <r>
    <n v="76"/>
    <n v="10076"/>
    <s v="Adegoke Peter"/>
    <x v="7"/>
    <x v="1"/>
    <x v="3"/>
    <n v="122900"/>
    <n v="30725"/>
    <n v="12290"/>
    <n v="15362.5"/>
    <n v="7005.3"/>
    <n v="3932.8"/>
    <n v="192215.59999999998"/>
    <n v="2402.6949999999997"/>
    <n v="189812.90499999997"/>
    <n v="2277754.8599999994"/>
    <n v="28832.339999999997"/>
    <n v="341663.22899999988"/>
    <n v="1936091.6309999996"/>
  </r>
  <r>
    <n v="77"/>
    <n v="10077"/>
    <s v="Nwaeri Joy"/>
    <x v="8"/>
    <x v="2"/>
    <x v="0"/>
    <n v="181263"/>
    <n v="45315.75"/>
    <n v="18126.3"/>
    <n v="22657.875"/>
    <n v="10331.991"/>
    <n v="5800.4160000000002"/>
    <n v="283495.33199999999"/>
    <n v="3543.6916500000002"/>
    <n v="279951.64035"/>
    <n v="3359419.6842"/>
    <n v="42524.299800000001"/>
    <n v="839854.92105"/>
    <n v="2519564.76315"/>
  </r>
  <r>
    <n v="78"/>
    <n v="10078"/>
    <s v="Danfulani Isa"/>
    <x v="9"/>
    <x v="0"/>
    <x v="1"/>
    <n v="85000"/>
    <n v="21250"/>
    <n v="8500"/>
    <n v="10625"/>
    <n v="4845"/>
    <n v="2720"/>
    <n v="132940"/>
    <n v="1661.75"/>
    <n v="131278.25"/>
    <n v="1575339"/>
    <n v="19941"/>
    <n v="236300.84999999998"/>
    <n v="1339038.1499999999"/>
  </r>
  <r>
    <n v="79"/>
    <n v="10079"/>
    <s v="Okoye Grace"/>
    <x v="10"/>
    <x v="1"/>
    <x v="3"/>
    <n v="132900"/>
    <n v="33225"/>
    <n v="13290"/>
    <n v="16612.5"/>
    <n v="7575.3"/>
    <n v="4252.8"/>
    <n v="207855.59999999998"/>
    <n v="2598.1949999999997"/>
    <n v="205257.40499999997"/>
    <n v="2463088.8599999994"/>
    <n v="31178.339999999997"/>
    <n v="369463.32899999991"/>
    <n v="2093625.5309999995"/>
  </r>
  <r>
    <n v="80"/>
    <n v="10080"/>
    <s v="Adebayo Simi"/>
    <x v="11"/>
    <x v="2"/>
    <x v="0"/>
    <n v="196263"/>
    <n v="49065.75"/>
    <n v="19626.3"/>
    <n v="24532.875"/>
    <n v="11186.991"/>
    <n v="6280.4160000000002"/>
    <n v="306955.33199999999"/>
    <n v="3836.9416500000002"/>
    <n v="303118.39035"/>
    <n v="3637420.6842"/>
    <n v="46043.299800000001"/>
    <n v="909355.17105"/>
    <n v="2728065.51315"/>
  </r>
  <r>
    <n v="81"/>
    <n v="10081"/>
    <s v="Chukwuemeka Kena"/>
    <x v="12"/>
    <x v="0"/>
    <x v="1"/>
    <n v="90000"/>
    <n v="22500"/>
    <n v="9000"/>
    <n v="11250"/>
    <n v="5130"/>
    <n v="2880"/>
    <n v="140760"/>
    <n v="1759.5"/>
    <n v="139000.5"/>
    <n v="1668006"/>
    <n v="21114"/>
    <n v="250200.9"/>
    <n v="1417805.1"/>
  </r>
  <r>
    <n v="82"/>
    <n v="10082"/>
    <s v="Fatima Umar"/>
    <x v="13"/>
    <x v="1"/>
    <x v="3"/>
    <n v="142900"/>
    <n v="35725"/>
    <n v="14290"/>
    <n v="17862.5"/>
    <n v="8145.3"/>
    <n v="4572.8"/>
    <n v="223495.59999999998"/>
    <n v="2793.6949999999997"/>
    <n v="220701.90499999997"/>
    <n v="2648422.8599999994"/>
    <n v="33524.339999999997"/>
    <n v="662105.71499999985"/>
    <n v="1986317.1449999996"/>
  </r>
  <r>
    <n v="83"/>
    <n v="10083"/>
    <s v="Rukayat Bello"/>
    <x v="14"/>
    <x v="2"/>
    <x v="1"/>
    <n v="211263"/>
    <n v="52815.75"/>
    <n v="21126.300000000003"/>
    <n v="26407.875"/>
    <n v="12041.991"/>
    <n v="6760.4160000000002"/>
    <n v="330415.33199999999"/>
    <n v="4130.1916499999998"/>
    <n v="326285.14035"/>
    <n v="3915421.6842"/>
    <n v="49562.299799999993"/>
    <n v="978855.42105"/>
    <n v="2936566.26315"/>
  </r>
  <r>
    <n v="84"/>
    <n v="10084"/>
    <s v="Adamu Zulai"/>
    <x v="15"/>
    <x v="0"/>
    <x v="0"/>
    <n v="95000"/>
    <n v="23750"/>
    <n v="9500"/>
    <n v="11875"/>
    <n v="5415"/>
    <n v="3040"/>
    <n v="148580"/>
    <n v="1857.25"/>
    <n v="146722.75"/>
    <n v="1760673"/>
    <n v="22287"/>
    <n v="264100.95"/>
    <n v="1496572.05"/>
  </r>
  <r>
    <n v="85"/>
    <n v="10085"/>
    <s v="Adegbite Yinka"/>
    <x v="16"/>
    <x v="1"/>
    <x v="0"/>
    <n v="152900"/>
    <n v="38225"/>
    <n v="15290"/>
    <n v="19112.5"/>
    <n v="8715.3000000000011"/>
    <n v="4892.8"/>
    <n v="239135.59999999998"/>
    <n v="2989.1949999999997"/>
    <n v="236146.40499999997"/>
    <n v="2833756.8599999994"/>
    <n v="35870.339999999997"/>
    <n v="708439.21499999985"/>
    <n v="2125317.6449999996"/>
  </r>
  <r>
    <n v="86"/>
    <n v="10086"/>
    <s v="Sadiq Suliya"/>
    <x v="0"/>
    <x v="0"/>
    <x v="1"/>
    <n v="70000"/>
    <n v="17500"/>
    <n v="7000"/>
    <n v="8750"/>
    <n v="3990"/>
    <n v="2240"/>
    <n v="109480"/>
    <n v="1368.5"/>
    <n v="108111.5"/>
    <n v="1297338"/>
    <n v="16422"/>
    <n v="194600.69999999998"/>
    <n v="1102737.3"/>
  </r>
  <r>
    <n v="87"/>
    <n v="10087"/>
    <s v="Yahaya Bunmi"/>
    <x v="1"/>
    <x v="1"/>
    <x v="2"/>
    <n v="102900"/>
    <n v="25725"/>
    <n v="10290"/>
    <n v="12862.5"/>
    <n v="5865.3"/>
    <n v="3292.8"/>
    <n v="160935.59999999998"/>
    <n v="2011.6949999999997"/>
    <n v="158923.90499999997"/>
    <n v="1907086.8599999996"/>
    <n v="24140.339999999997"/>
    <n v="286063.02899999992"/>
    <n v="1621023.8309999998"/>
  </r>
  <r>
    <n v="88"/>
    <n v="10088"/>
    <s v="Okon Victor"/>
    <x v="2"/>
    <x v="2"/>
    <x v="3"/>
    <n v="151263"/>
    <n v="37815.75"/>
    <n v="15126.300000000001"/>
    <n v="18907.875"/>
    <n v="8621.991"/>
    <n v="4840.4160000000002"/>
    <n v="236575.33199999999"/>
    <n v="2957.1916500000002"/>
    <n v="233618.14035"/>
    <n v="2803417.6842"/>
    <n v="35486.299800000001"/>
    <n v="700854.42105"/>
    <n v="2102563.26315"/>
  </r>
  <r>
    <n v="89"/>
    <n v="10089"/>
    <s v="Bassey Emem"/>
    <x v="3"/>
    <x v="0"/>
    <x v="0"/>
    <n v="75000"/>
    <n v="18750"/>
    <n v="7500"/>
    <n v="9375"/>
    <n v="4275"/>
    <n v="2400"/>
    <n v="117300"/>
    <n v="1466.25"/>
    <n v="115833.75"/>
    <n v="1390005"/>
    <n v="17595"/>
    <n v="208500.75"/>
    <n v="1181504.25"/>
  </r>
  <r>
    <n v="90"/>
    <n v="10090"/>
    <s v="Chukwuma Nkiru"/>
    <x v="4"/>
    <x v="1"/>
    <x v="1"/>
    <n v="112900"/>
    <n v="28225"/>
    <n v="11290"/>
    <n v="14112.5"/>
    <n v="6435.3"/>
    <n v="3612.8"/>
    <n v="176575.59999999998"/>
    <n v="2207.1949999999997"/>
    <n v="174368.40499999997"/>
    <n v="2092420.8599999996"/>
    <n v="26486.339999999997"/>
    <n v="313863.12899999996"/>
    <n v="1778557.7309999997"/>
  </r>
  <r>
    <n v="91"/>
    <n v="10091"/>
    <s v="Danlami Kike"/>
    <x v="5"/>
    <x v="2"/>
    <x v="3"/>
    <n v="166263"/>
    <n v="41565.75"/>
    <n v="16626.3"/>
    <n v="20782.875"/>
    <n v="9476.991"/>
    <n v="5320.4160000000002"/>
    <n v="260035.33199999999"/>
    <n v="3250.4416500000002"/>
    <n v="256784.89035"/>
    <n v="3081418.6842"/>
    <n v="39005.299800000001"/>
    <n v="770354.67105"/>
    <n v="2311064.01315"/>
  </r>
  <r>
    <n v="92"/>
    <n v="10092"/>
    <s v="Habibi Ashiru"/>
    <x v="6"/>
    <x v="0"/>
    <x v="0"/>
    <n v="80000"/>
    <n v="20000"/>
    <n v="8000"/>
    <n v="10000"/>
    <n v="4560"/>
    <n v="2560"/>
    <n v="125120"/>
    <n v="1564"/>
    <n v="123556"/>
    <n v="1482672"/>
    <n v="18768"/>
    <n v="222400.8"/>
    <n v="1260271.2"/>
  </r>
  <r>
    <n v="93"/>
    <n v="10093"/>
    <s v="Nnoli Chidioze"/>
    <x v="7"/>
    <x v="1"/>
    <x v="1"/>
    <n v="122900"/>
    <n v="30725"/>
    <n v="12290"/>
    <n v="15362.5"/>
    <n v="7005.3"/>
    <n v="3932.8"/>
    <n v="192215.59999999998"/>
    <n v="2402.6949999999997"/>
    <n v="189812.90499999997"/>
    <n v="2277754.8599999994"/>
    <n v="28832.339999999997"/>
    <n v="341663.22899999988"/>
    <n v="1936091.6309999996"/>
  </r>
  <r>
    <n v="94"/>
    <n v="10094"/>
    <s v="Okarfor Eze"/>
    <x v="8"/>
    <x v="2"/>
    <x v="3"/>
    <n v="181263"/>
    <n v="45315.75"/>
    <n v="18126.3"/>
    <n v="22657.875"/>
    <n v="10331.991"/>
    <n v="5800.4160000000002"/>
    <n v="283495.33199999999"/>
    <n v="3543.6916500000002"/>
    <n v="279951.64035"/>
    <n v="3359419.6842"/>
    <n v="42524.299800000001"/>
    <n v="839854.92105"/>
    <n v="2519564.76315"/>
  </r>
  <r>
    <n v="95"/>
    <n v="10095"/>
    <s v="Yakassai Sani"/>
    <x v="9"/>
    <x v="0"/>
    <x v="1"/>
    <n v="85000"/>
    <n v="21250"/>
    <n v="8500"/>
    <n v="10625"/>
    <n v="4845"/>
    <n v="2720"/>
    <n v="132940"/>
    <n v="1661.75"/>
    <n v="131278.25"/>
    <n v="1575339"/>
    <n v="19941"/>
    <n v="236300.84999999998"/>
    <n v="1339038.1499999999"/>
  </r>
  <r>
    <n v="96"/>
    <n v="10096"/>
    <s v="Bello Rukayat"/>
    <x v="10"/>
    <x v="1"/>
    <x v="0"/>
    <n v="132900"/>
    <n v="33225"/>
    <n v="13290"/>
    <n v="16612.5"/>
    <n v="7575.3"/>
    <n v="4252.8"/>
    <n v="207855.59999999998"/>
    <n v="2598.1949999999997"/>
    <n v="205257.40499999997"/>
    <n v="2463088.8599999994"/>
    <n v="31178.339999999997"/>
    <n v="369463.32899999991"/>
    <n v="2093625.5309999995"/>
  </r>
  <r>
    <n v="97"/>
    <n v="10097"/>
    <s v="Ali Alimi"/>
    <x v="11"/>
    <x v="2"/>
    <x v="0"/>
    <n v="196263"/>
    <n v="49065.75"/>
    <n v="19626.3"/>
    <n v="24532.875"/>
    <n v="11186.991"/>
    <n v="6280.4160000000002"/>
    <n v="306955.33199999999"/>
    <n v="3836.9416500000002"/>
    <n v="303118.39035"/>
    <n v="3637420.6842"/>
    <n v="46043.299800000001"/>
    <n v="909355.17105"/>
    <n v="2728065.51315"/>
  </r>
  <r>
    <n v="98"/>
    <n v="10098"/>
    <s v="Ogunlana Seun"/>
    <x v="2"/>
    <x v="2"/>
    <x v="1"/>
    <n v="151263"/>
    <n v="37815.75"/>
    <n v="15126.300000000001"/>
    <n v="18907.875"/>
    <n v="8621.991"/>
    <n v="4840.4160000000002"/>
    <n v="236575.33199999999"/>
    <n v="2957.1916500000002"/>
    <n v="233618.14035"/>
    <n v="2803417.6842"/>
    <n v="35486.299800000001"/>
    <n v="700854.42105"/>
    <n v="2102563.26315"/>
  </r>
  <r>
    <n v="99"/>
    <n v="10099"/>
    <s v="Adebayo Adebola"/>
    <x v="5"/>
    <x v="2"/>
    <x v="2"/>
    <n v="166263"/>
    <n v="41565.75"/>
    <n v="16626.3"/>
    <n v="20782.875"/>
    <n v="9476.991"/>
    <n v="5320.4160000000002"/>
    <n v="260035.33199999999"/>
    <n v="3250.4416500000002"/>
    <n v="256784.89035"/>
    <n v="3081418.6842"/>
    <n v="39005.299800000001"/>
    <n v="770354.67105"/>
    <n v="2311064.013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8B610-5B14-4A3D-961D-9FC95FD60C0F}" name="PivotTable1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LERK">
  <location ref="AE3:AF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 NE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886B1-CC65-438E-B904-FE026B377A5C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">
  <location ref="A33:N38" firstHeaderRow="0" firstDataRow="1" firstDataCol="1"/>
  <pivotFields count="19"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TOTAL BASIC SALARY" fld="6" baseField="5" baseItem="0"/>
    <dataField name="Sum of HOUSING (25%)" fld="7" baseField="0" baseItem="0"/>
    <dataField name="Sum of MEDICAL (10%)" fld="8" baseField="0" baseItem="0"/>
    <dataField name="Sum of TRANSPORT(12.5%)" fld="9" baseField="0" baseItem="0"/>
    <dataField name="Sum of WELFARE (5.7%)" fld="10" baseField="0" baseItem="0"/>
    <dataField name="Sum of BONUS (3.2%)" fld="11" baseField="0" baseItem="0"/>
    <dataField name="Sum of GROSS EARN" fld="12" baseField="0" baseItem="0"/>
    <dataField name="Sum of TAX PER MON (1.25%)" fld="13" baseField="0" baseItem="0"/>
    <dataField name="Sum of NET EARN" fld="14" baseField="0" baseItem="0"/>
    <dataField name="Sum of ANNUAL NET" fld="15" baseField="0" baseItem="0"/>
    <dataField name="Sum of ANNUAL TAX" fld="16" baseField="0" baseItem="0"/>
    <dataField name="Sum of ACTUAL NET" fld="18" baseField="0" baseItem="0"/>
    <dataField name="Sum of ACTUAL TAX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8C8A5-1F53-440B-B503-76264089187D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LERK">
  <location ref="V3:W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OSS EARN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2BBA1-F1F3-4897-8606-E288E102902F}" name="PivotTable2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nd Total">
  <location ref="AB12:AC30" firstHeaderRow="1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NET EARN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B71D-E775-4826-88EB-DC3673E0D3A4}" name="PivotTable2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2:O46" firstHeaderRow="0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Average of BASIC SALARY" fld="6" subtotal="average" baseField="4" baseItem="0"/>
    <dataField name="Average of HOUSING (25%)" fld="7" subtotal="average" baseField="4" baseItem="0"/>
    <dataField name="Average of MEDICAL (10%)" fld="8" subtotal="average" baseField="4" baseItem="0"/>
    <dataField name="Average of TRANSPORT(12.5%)" fld="9" subtotal="average" baseField="4" baseItem="0"/>
    <dataField name="Average of WELFARE (5.7%)" fld="10" subtotal="average" baseField="4" baseItem="0"/>
    <dataField name="Average of BONUS (3.2%)" fld="11" subtotal="average" baseField="4" baseItem="0"/>
    <dataField name="Average of GROSS EARN" fld="12" subtotal="average" baseField="4" baseItem="0"/>
    <dataField name="Average of TAX PER MON (1.25%)" fld="13" subtotal="average" baseField="4" baseItem="0"/>
    <dataField name="Average of NET EARN" fld="14" subtotal="average" baseField="4" baseItem="0"/>
    <dataField name="Average of ANNUAL NET" fld="15" subtotal="average" baseField="4" baseItem="0"/>
    <dataField name="Average of ANNUAL TAX" fld="16" subtotal="average" baseField="4" baseItem="0"/>
    <dataField name="Average of ACTUAL TAX" fld="17" subtotal="average" baseField="4" baseItem="0"/>
    <dataField name="Average of ACTUAL NET" fld="1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A3709-2399-47B7-A5E2-168A20EA74BB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LERK">
  <location ref="S3:T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BONUS (3.2%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5C239-3F7A-4CE5-AF36-7689DC988968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12:F30" firstHeaderRow="1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HOUSING (25%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369EE-F275-43FF-9EAD-F3F067B32C07}" name="PivotTable2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nd Total">
  <location ref="AE12:AF30" firstHeaderRow="1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ANNUAL NE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B8346-E252-4452-B2DC-68994B2BA71B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LERK">
  <location ref="AB3:AC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 EARN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8EDE8-EE85-40C9-8802-BE0906BCB39E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HOUSING (25%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C28BC-D757-4392-90D6-2B5EACC2635B}" name="PivotTable2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nd Total">
  <location ref="S12:T30" firstHeaderRow="1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BONUS (3.2%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F9A39-252E-42AF-AE48-60F7C7521FD4}" name="PivotTable1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LERK">
  <location ref="AH3:AI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 TAX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9BC73-4946-4F4F-95E0-4E4748FF8454}" name="PivotTable2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nd Total">
  <location ref="V12:W30" firstHeaderRow="1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GROSS EARN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D2B2D-F937-4A46-B03E-596966F23BE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TATUS">
  <location ref="A3:B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BASIC SALARY " fld="6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E12AF-F7F8-4B84-B297-1CC04602A620}" name="PivotTable2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nd Total">
  <location ref="P12:Q30" firstHeaderRow="1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WELFARE (5.7%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92D23-DF39-4918-B9FC-43D57958490D}" name="PivotTable2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nd Total">
  <location ref="Y12:Z30" firstHeaderRow="1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TAX PER MON (1.25%)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A1781-CA8F-4061-8C81-AD43766E949E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3:N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PORT(12.5%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4917A-BBB4-4851-9813-82CFA5CB181D}" name="PivotTable2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nd Total">
  <location ref="AH12:AL30" firstHeaderRow="0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dataField="1" numFmtId="43" showAll="0"/>
    <pivotField dataField="1" numFmtId="43" showAll="0"/>
    <pivotField dataField="1"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NNUAL NET" fld="15" baseField="0" baseItem="0"/>
    <dataField name="Sum of ANNUAL TAX" fld="16" baseField="0" baseItem="0"/>
    <dataField name="Sum of ACTUAL TAX" fld="17" baseField="0" baseItem="0"/>
    <dataField name="Sum of ACTUAL NE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625C8-87B7-4371-8BC3-E0D4AA4DF5B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">
  <location ref="C57:D62" firstHeaderRow="1" firstDataRow="1" firstDataCol="1"/>
  <pivotFields count="19">
    <pivotField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EMPLOYEE" fld="1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FAE14-82B9-49D6-8CC6-F19AEEBDDB41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LERK">
  <location ref="Y3:Z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AX PER MON (1.25%)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0E328-2889-4C98-BC7C-968022CF2F4E}" name="PivotTable1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LERK">
  <location ref="AK3:AL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CTUAL TAX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1AFAE-5EDF-4002-B615-FFA72AE0F4BD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3:J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EDICAL (10%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9C5A2-9A58-4CE3-8C92-C057D71359D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nd Total">
  <location ref="I12:J30" firstHeaderRow="1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EDICAL (10%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22AA0-F8E1-4EB1-91A7-7B7D45354E09}" name="PivotTable2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nd Total">
  <location ref="M12:N30" firstHeaderRow="1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TRANSPORT(12.5%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38BD9-4B97-4ADE-A289-5EE89C5A6728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LERK">
  <location ref="P3:Q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WELFARE (5.7%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2F3B7-633B-4843-A712-9B3D4F55336B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LEVEL">
  <location ref="A12:B30" firstHeaderRow="1" firstDataRow="1" firstDataCol="1"/>
  <pivotFields count="19">
    <pivotField showAll="0"/>
    <pivotField showAll="0"/>
    <pivotField showAll="0"/>
    <pivotField axis="axisRow" showAll="0">
      <items count="18">
        <item x="0"/>
        <item x="3"/>
        <item x="6"/>
        <item x="9"/>
        <item x="12"/>
        <item x="15"/>
        <item x="1"/>
        <item x="4"/>
        <item x="7"/>
        <item x="10"/>
        <item x="13"/>
        <item x="16"/>
        <item x="2"/>
        <item x="5"/>
        <item x="8"/>
        <item x="11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TOTAL BASIC SALARY 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AF5F0-C064-4ABC-9DA9-D339C40097AC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LERK">
  <location ref="AN3:AO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CTUAL NE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BBDC5-05B1-4BD9-A73B-125797C6A7AC}" name="PivotTable2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8:N52" firstHeaderRow="0" firstDataRow="1" firstDataCol="1"/>
  <pivotFields count="19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Count of BASIC SALARY" fld="6" subtotal="count" baseField="4" baseItem="0"/>
    <dataField name="Count of HOUSING (25%)" fld="7" subtotal="count" baseField="4" baseItem="0"/>
    <dataField name="Count of MEDICAL (10%)" fld="8" subtotal="count" baseField="4" baseItem="0"/>
    <dataField name="Count of TRANSPORT(12.5%)" fld="9" subtotal="count" baseField="4" baseItem="0"/>
    <dataField name="Count of ACTUAL NET" fld="18" subtotal="count" baseField="4" baseItem="0"/>
    <dataField name="Count of ACTUAL TAX" fld="17" subtotal="count" baseField="4" baseItem="0"/>
    <dataField name="Count of ANNUAL TAX" fld="16" subtotal="count" baseField="4" baseItem="0"/>
    <dataField name="Count of ANNUAL NET" fld="15" subtotal="count" baseField="4" baseItem="0"/>
    <dataField name="Count of NET EARN" fld="14" subtotal="count" baseField="4" baseItem="0"/>
    <dataField name="Count of TAX PER MON (1.25%)" fld="13" subtotal="count" baseField="4" baseItem="0"/>
    <dataField name="Count of GROSS EARN" fld="12" subtotal="count" baseField="4" baseItem="0"/>
    <dataField name="Count of BONUS (3.2%)" fld="11" subtotal="count" baseField="4" baseItem="0"/>
    <dataField name="Count of WELFARE (5.7%)" fld="1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8513ED-CCF5-4B71-91F8-58366C713B73}" name="Table1" displayName="Table1" ref="A1:S100" totalsRowShown="0" headerRowDxfId="14" dataDxfId="13" headerRowCellStyle="Comma" dataCellStyle="Comma">
  <autoFilter ref="A1:S100" xr:uid="{598513ED-CCF5-4B71-91F8-58366C713B73}"/>
  <tableColumns count="19">
    <tableColumn id="1" xr3:uid="{AABA1728-E8E2-4336-9173-009E5968A88F}" name="S/N"/>
    <tableColumn id="2" xr3:uid="{E68A12A2-C12E-4B0F-AF5E-13EF51F9E513}" name="EMPLOYEE ID"/>
    <tableColumn id="3" xr3:uid="{537057D3-2675-4E44-B222-9303B2C21984}" name="NAME"/>
    <tableColumn id="4" xr3:uid="{F4C68B65-AFC7-43E6-84EB-4871D3E13216}" name="LEVEL"/>
    <tableColumn id="5" xr3:uid="{34222CF4-8603-4014-AC4F-2CBC84B83549}" name="STATUS"/>
    <tableColumn id="6" xr3:uid="{3EE543D7-947C-47D3-990B-47B64FED1B46}" name="DEPARTMENT"/>
    <tableColumn id="7" xr3:uid="{0071F0D8-97DA-4C11-92AE-C406B0F7EB1B}" name="BASIC SALARY" dataDxfId="12" dataCellStyle="Comma"/>
    <tableColumn id="8" xr3:uid="{C818E70D-1231-4257-802F-2FB1DB8B424F}" name="HOUSING (25%)" dataDxfId="11" dataCellStyle="Comma"/>
    <tableColumn id="9" xr3:uid="{3103C096-40FD-4FB7-807D-9FC01F8C6A50}" name="MEDICAL (10%)" dataDxfId="10" dataCellStyle="Comma"/>
    <tableColumn id="10" xr3:uid="{66CF4533-2672-49EF-9760-6B59F506A651}" name="TRANSPORT(12.5%)" dataDxfId="9" dataCellStyle="Comma"/>
    <tableColumn id="11" xr3:uid="{694F34E2-CF16-49B3-BD5A-29FB94C1E213}" name="WELFARE (5.7%)" dataDxfId="8" dataCellStyle="Comma"/>
    <tableColumn id="12" xr3:uid="{9EC13187-2109-4BBC-AC7E-CDB9935F2A67}" name="BONUS (3.2%)" dataDxfId="7" dataCellStyle="Comma"/>
    <tableColumn id="13" xr3:uid="{8343FC87-5EA2-4A82-8162-5A22C20AE9B9}" name="GROSS EARN" dataDxfId="6" dataCellStyle="Comma"/>
    <tableColumn id="14" xr3:uid="{1999139F-0409-4C8A-8871-1D1B5D20C1BC}" name="TAX PER MON (1.25%)" dataDxfId="5" dataCellStyle="Comma"/>
    <tableColumn id="15" xr3:uid="{65A990F6-9435-403A-9EE7-E85082E6C221}" name="NET EARN" dataDxfId="4" dataCellStyle="Comma"/>
    <tableColumn id="16" xr3:uid="{46052485-D6E2-476D-B372-FFE038DF1C22}" name="ANNUAL NET" dataDxfId="3" dataCellStyle="Comma"/>
    <tableColumn id="17" xr3:uid="{AAFF0E32-1A49-4946-A7B2-5BB1C32E2F0F}" name="ANNUAL TAX" dataDxfId="2" dataCellStyle="Comma"/>
    <tableColumn id="18" xr3:uid="{698F1769-CF81-4D5A-A7A9-DA342823BF95}" name="ACTUAL TAX" dataDxfId="1" dataCellStyle="Comma"/>
    <tableColumn id="19" xr3:uid="{0BD89E71-0810-47CA-A939-3FF8365D5E25}" name="ACTUAL NET" dataDxfId="0" dataCellStyle="Comma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054F-B807-459C-BD4E-218A5278E2A2}">
  <dimension ref="A3:AO62"/>
  <sheetViews>
    <sheetView topLeftCell="A15" zoomScale="90" zoomScaleNormal="90" workbookViewId="0">
      <selection activeCell="B33" sqref="B33"/>
    </sheetView>
  </sheetViews>
  <sheetFormatPr defaultRowHeight="14.4" x14ac:dyDescent="0.3"/>
  <cols>
    <col min="1" max="1" width="15.6640625" bestFit="1" customWidth="1"/>
    <col min="2" max="2" width="19.77734375" bestFit="1" customWidth="1"/>
    <col min="3" max="3" width="21.88671875" bestFit="1" customWidth="1"/>
    <col min="4" max="4" width="21.33203125" bestFit="1" customWidth="1"/>
    <col min="5" max="5" width="25.33203125" bestFit="1" customWidth="1"/>
    <col min="6" max="6" width="22.109375" bestFit="1" customWidth="1"/>
    <col min="7" max="7" width="20.33203125" bestFit="1" customWidth="1"/>
    <col min="8" max="8" width="19.21875" bestFit="1" customWidth="1"/>
    <col min="9" max="9" width="27.5546875" bestFit="1" customWidth="1"/>
    <col min="10" max="10" width="16.44140625" bestFit="1" customWidth="1"/>
    <col min="11" max="12" width="19.109375" bestFit="1" customWidth="1"/>
    <col min="13" max="14" width="18.33203125" bestFit="1" customWidth="1"/>
    <col min="15" max="15" width="21.44140625" bestFit="1" customWidth="1"/>
    <col min="16" max="16" width="12.77734375" bestFit="1" customWidth="1"/>
    <col min="17" max="17" width="29.6640625" customWidth="1"/>
    <col min="18" max="18" width="9.109375" customWidth="1"/>
    <col min="19" max="19" width="12.77734375" bestFit="1" customWidth="1"/>
    <col min="20" max="20" width="26.21875" customWidth="1"/>
    <col min="22" max="22" width="12.77734375" bestFit="1" customWidth="1"/>
    <col min="23" max="23" width="18.44140625" bestFit="1" customWidth="1"/>
    <col min="25" max="25" width="12.77734375" bestFit="1" customWidth="1"/>
    <col min="26" max="26" width="26.5546875" bestFit="1" customWidth="1"/>
    <col min="28" max="28" width="12.77734375" bestFit="1" customWidth="1"/>
    <col min="29" max="29" width="18.44140625" customWidth="1"/>
    <col min="31" max="31" width="12.77734375" bestFit="1" customWidth="1"/>
    <col min="32" max="32" width="18.77734375" bestFit="1" customWidth="1"/>
    <col min="34" max="34" width="12.77734375" bestFit="1" customWidth="1"/>
    <col min="35" max="36" width="18.77734375" bestFit="1" customWidth="1"/>
    <col min="37" max="38" width="18.21875" bestFit="1" customWidth="1"/>
    <col min="40" max="40" width="10.77734375" bestFit="1" customWidth="1"/>
    <col min="41" max="41" width="20.88671875" customWidth="1"/>
  </cols>
  <sheetData>
    <row r="3" spans="1:41" x14ac:dyDescent="0.3">
      <c r="A3" s="13" t="s">
        <v>3</v>
      </c>
      <c r="B3" t="s">
        <v>178</v>
      </c>
      <c r="E3" s="13" t="s">
        <v>128</v>
      </c>
      <c r="F3" t="s">
        <v>130</v>
      </c>
      <c r="I3" s="13" t="s">
        <v>128</v>
      </c>
      <c r="J3" t="s">
        <v>131</v>
      </c>
      <c r="M3" s="13" t="s">
        <v>128</v>
      </c>
      <c r="N3" t="s">
        <v>132</v>
      </c>
      <c r="P3" s="13" t="s">
        <v>143</v>
      </c>
      <c r="Q3" t="s">
        <v>133</v>
      </c>
      <c r="S3" s="13" t="s">
        <v>143</v>
      </c>
      <c r="T3" t="s">
        <v>134</v>
      </c>
      <c r="V3" s="13" t="s">
        <v>143</v>
      </c>
      <c r="W3" t="s">
        <v>135</v>
      </c>
      <c r="Y3" s="13" t="s">
        <v>143</v>
      </c>
      <c r="Z3" t="s">
        <v>136</v>
      </c>
      <c r="AB3" s="13" t="s">
        <v>143</v>
      </c>
      <c r="AC3" t="s">
        <v>137</v>
      </c>
      <c r="AE3" s="13" t="s">
        <v>143</v>
      </c>
      <c r="AF3" t="s">
        <v>138</v>
      </c>
      <c r="AH3" s="13" t="s">
        <v>143</v>
      </c>
      <c r="AI3" t="s">
        <v>140</v>
      </c>
      <c r="AK3" s="13" t="s">
        <v>143</v>
      </c>
      <c r="AL3" t="s">
        <v>141</v>
      </c>
      <c r="AN3" s="13" t="s">
        <v>143</v>
      </c>
      <c r="AO3" t="s">
        <v>142</v>
      </c>
    </row>
    <row r="4" spans="1:41" x14ac:dyDescent="0.3">
      <c r="A4" s="14" t="s">
        <v>114</v>
      </c>
      <c r="B4" s="15">
        <v>2715000</v>
      </c>
      <c r="E4" s="14" t="s">
        <v>114</v>
      </c>
      <c r="F4" s="15">
        <v>678750</v>
      </c>
      <c r="I4" s="14" t="s">
        <v>114</v>
      </c>
      <c r="J4" s="15">
        <v>271500</v>
      </c>
      <c r="M4" s="14" t="s">
        <v>114</v>
      </c>
      <c r="N4" s="15">
        <v>339375</v>
      </c>
      <c r="P4" s="14" t="s">
        <v>114</v>
      </c>
      <c r="Q4" s="15">
        <v>154755</v>
      </c>
      <c r="S4" s="14" t="s">
        <v>114</v>
      </c>
      <c r="T4" s="15">
        <v>86880</v>
      </c>
      <c r="V4" s="14" t="s">
        <v>114</v>
      </c>
      <c r="W4" s="15">
        <v>4246260</v>
      </c>
      <c r="Y4" s="14" t="s">
        <v>114</v>
      </c>
      <c r="Z4" s="15">
        <v>53078.25</v>
      </c>
      <c r="AB4" s="14" t="s">
        <v>114</v>
      </c>
      <c r="AC4" s="15">
        <v>4193181.75</v>
      </c>
      <c r="AE4" s="14" t="s">
        <v>114</v>
      </c>
      <c r="AF4" s="15">
        <v>50318181</v>
      </c>
      <c r="AH4" s="14" t="s">
        <v>114</v>
      </c>
      <c r="AI4" s="15">
        <v>636939</v>
      </c>
      <c r="AK4" s="14" t="s">
        <v>114</v>
      </c>
      <c r="AL4" s="15">
        <v>7547727.1500000004</v>
      </c>
      <c r="AN4" s="14" t="s">
        <v>114</v>
      </c>
      <c r="AO4" s="15">
        <v>42770453.850000001</v>
      </c>
    </row>
    <row r="5" spans="1:41" x14ac:dyDescent="0.3">
      <c r="A5" s="14" t="s">
        <v>115</v>
      </c>
      <c r="B5" s="15">
        <v>4205700</v>
      </c>
      <c r="E5" s="14" t="s">
        <v>115</v>
      </c>
      <c r="F5" s="15">
        <v>1051425</v>
      </c>
      <c r="I5" s="14" t="s">
        <v>115</v>
      </c>
      <c r="J5" s="15">
        <v>420570</v>
      </c>
      <c r="M5" s="14" t="s">
        <v>115</v>
      </c>
      <c r="N5" s="15">
        <v>525712.5</v>
      </c>
      <c r="P5" s="14" t="s">
        <v>115</v>
      </c>
      <c r="Q5" s="15">
        <v>239724.89999999985</v>
      </c>
      <c r="S5" s="14" t="s">
        <v>115</v>
      </c>
      <c r="T5" s="15">
        <v>134582.40000000005</v>
      </c>
      <c r="V5" s="14" t="s">
        <v>115</v>
      </c>
      <c r="W5" s="15">
        <v>6577714.799999997</v>
      </c>
      <c r="Y5" s="14" t="s">
        <v>115</v>
      </c>
      <c r="Z5" s="15">
        <v>82221.435000000027</v>
      </c>
      <c r="AB5" s="14" t="s">
        <v>115</v>
      </c>
      <c r="AC5" s="15">
        <v>6495493.3650000012</v>
      </c>
      <c r="AE5" s="14" t="s">
        <v>115</v>
      </c>
      <c r="AF5" s="15">
        <v>77945920.37999998</v>
      </c>
      <c r="AH5" s="14" t="s">
        <v>115</v>
      </c>
      <c r="AI5" s="15">
        <v>986657.21999999916</v>
      </c>
      <c r="AK5" s="14" t="s">
        <v>115</v>
      </c>
      <c r="AL5" s="15">
        <v>14432977.916999998</v>
      </c>
      <c r="AN5" s="14" t="s">
        <v>115</v>
      </c>
      <c r="AO5" s="15">
        <v>63512942.462999955</v>
      </c>
    </row>
    <row r="6" spans="1:41" x14ac:dyDescent="0.3">
      <c r="A6" s="14" t="s">
        <v>116</v>
      </c>
      <c r="B6" s="15">
        <v>5921679</v>
      </c>
      <c r="E6" s="14" t="s">
        <v>116</v>
      </c>
      <c r="F6" s="15">
        <v>1480419.75</v>
      </c>
      <c r="I6" s="14" t="s">
        <v>116</v>
      </c>
      <c r="J6" s="15">
        <v>592167.89999999991</v>
      </c>
      <c r="M6" s="14" t="s">
        <v>116</v>
      </c>
      <c r="N6" s="15">
        <v>740209.875</v>
      </c>
      <c r="P6" s="14" t="s">
        <v>116</v>
      </c>
      <c r="Q6" s="15">
        <v>337535.70299999992</v>
      </c>
      <c r="S6" s="14" t="s">
        <v>116</v>
      </c>
      <c r="T6" s="15">
        <v>189493.72799999994</v>
      </c>
      <c r="V6" s="14" t="s">
        <v>116</v>
      </c>
      <c r="W6" s="15">
        <v>9261505.9560000058</v>
      </c>
      <c r="Y6" s="14" t="s">
        <v>116</v>
      </c>
      <c r="Z6" s="15">
        <v>115768.82444999991</v>
      </c>
      <c r="AB6" s="14" t="s">
        <v>116</v>
      </c>
      <c r="AC6" s="15">
        <v>9145737.1315499991</v>
      </c>
      <c r="AE6" s="14" t="s">
        <v>116</v>
      </c>
      <c r="AF6" s="15">
        <v>109748845.57860008</v>
      </c>
      <c r="AH6" s="14" t="s">
        <v>116</v>
      </c>
      <c r="AI6" s="15">
        <v>1389225.8933999997</v>
      </c>
      <c r="AK6" s="14" t="s">
        <v>116</v>
      </c>
      <c r="AL6" s="15">
        <v>27437211.39465002</v>
      </c>
      <c r="AN6" s="14" t="s">
        <v>116</v>
      </c>
      <c r="AO6" s="15">
        <v>82311634.183950022</v>
      </c>
    </row>
    <row r="7" spans="1:41" x14ac:dyDescent="0.3">
      <c r="A7" s="14" t="s">
        <v>129</v>
      </c>
      <c r="B7" s="15">
        <v>12842379</v>
      </c>
      <c r="E7" s="14" t="s">
        <v>129</v>
      </c>
      <c r="F7" s="15">
        <v>3210594.75</v>
      </c>
      <c r="I7" s="14" t="s">
        <v>129</v>
      </c>
      <c r="J7" s="15">
        <v>1284237.8999999999</v>
      </c>
      <c r="M7" s="14" t="s">
        <v>129</v>
      </c>
      <c r="N7" s="15">
        <v>1605297.375</v>
      </c>
      <c r="P7" s="14" t="s">
        <v>129</v>
      </c>
      <c r="Q7" s="15">
        <v>732015.60299999977</v>
      </c>
      <c r="S7" s="14" t="s">
        <v>129</v>
      </c>
      <c r="T7" s="15">
        <v>410956.12800000003</v>
      </c>
      <c r="V7" s="14" t="s">
        <v>129</v>
      </c>
      <c r="W7" s="15">
        <v>20085480.756000005</v>
      </c>
      <c r="Y7" s="14" t="s">
        <v>129</v>
      </c>
      <c r="Z7" s="15">
        <v>251068.50944999995</v>
      </c>
      <c r="AB7" s="14" t="s">
        <v>129</v>
      </c>
      <c r="AC7" s="15">
        <v>19834412.246550001</v>
      </c>
      <c r="AE7" s="14" t="s">
        <v>129</v>
      </c>
      <c r="AF7" s="15">
        <v>238012946.95860004</v>
      </c>
      <c r="AH7" s="14" t="s">
        <v>129</v>
      </c>
      <c r="AI7" s="15">
        <v>3012822.1133999992</v>
      </c>
      <c r="AK7" s="14" t="s">
        <v>129</v>
      </c>
      <c r="AL7" s="15">
        <v>49417916.461650014</v>
      </c>
      <c r="AN7" s="14" t="s">
        <v>129</v>
      </c>
      <c r="AO7" s="15">
        <v>188595030.49694997</v>
      </c>
    </row>
    <row r="12" spans="1:41" x14ac:dyDescent="0.3">
      <c r="A12" s="13" t="s">
        <v>113</v>
      </c>
      <c r="B12" t="s">
        <v>178</v>
      </c>
      <c r="E12" s="13" t="s">
        <v>128</v>
      </c>
      <c r="F12" t="s">
        <v>130</v>
      </c>
      <c r="I12" s="13" t="s">
        <v>139</v>
      </c>
      <c r="J12" t="s">
        <v>131</v>
      </c>
      <c r="M12" s="13" t="s">
        <v>139</v>
      </c>
      <c r="N12" t="s">
        <v>132</v>
      </c>
      <c r="P12" s="13" t="s">
        <v>139</v>
      </c>
      <c r="Q12" t="s">
        <v>133</v>
      </c>
      <c r="S12" s="13" t="s">
        <v>139</v>
      </c>
      <c r="T12" t="s">
        <v>134</v>
      </c>
      <c r="V12" s="13" t="s">
        <v>139</v>
      </c>
      <c r="W12" t="s">
        <v>135</v>
      </c>
      <c r="Y12" s="13" t="s">
        <v>139</v>
      </c>
      <c r="Z12" t="s">
        <v>136</v>
      </c>
      <c r="AB12" s="13" t="s">
        <v>139</v>
      </c>
      <c r="AC12" t="s">
        <v>137</v>
      </c>
      <c r="AE12" s="13" t="s">
        <v>139</v>
      </c>
      <c r="AF12" t="s">
        <v>138</v>
      </c>
      <c r="AH12" s="13" t="s">
        <v>139</v>
      </c>
      <c r="AI12" t="s">
        <v>138</v>
      </c>
      <c r="AJ12" t="s">
        <v>140</v>
      </c>
      <c r="AK12" t="s">
        <v>141</v>
      </c>
      <c r="AL12" t="s">
        <v>142</v>
      </c>
    </row>
    <row r="13" spans="1:41" x14ac:dyDescent="0.3">
      <c r="A13" s="14">
        <v>1</v>
      </c>
      <c r="B13" s="15">
        <v>350000</v>
      </c>
      <c r="E13" s="14">
        <v>1</v>
      </c>
      <c r="F13" s="15">
        <v>87500</v>
      </c>
      <c r="I13" s="14">
        <v>1</v>
      </c>
      <c r="J13" s="15">
        <v>35000</v>
      </c>
      <c r="M13" s="14">
        <v>1</v>
      </c>
      <c r="N13" s="15">
        <v>43750</v>
      </c>
      <c r="P13" s="14">
        <v>1</v>
      </c>
      <c r="Q13" s="15">
        <v>19950</v>
      </c>
      <c r="S13" s="14">
        <v>1</v>
      </c>
      <c r="T13" s="15">
        <v>11200</v>
      </c>
      <c r="V13" s="14">
        <v>1</v>
      </c>
      <c r="W13" s="15">
        <v>547400</v>
      </c>
      <c r="Y13" s="14">
        <v>1</v>
      </c>
      <c r="Z13" s="15">
        <v>6842.5</v>
      </c>
      <c r="AB13" s="14">
        <v>1</v>
      </c>
      <c r="AC13" s="15">
        <v>540557.5</v>
      </c>
      <c r="AE13" s="14">
        <v>1</v>
      </c>
      <c r="AF13" s="15">
        <v>6486690</v>
      </c>
      <c r="AH13" s="14">
        <v>1</v>
      </c>
      <c r="AI13" s="15">
        <v>6486690</v>
      </c>
      <c r="AJ13" s="15">
        <v>82110</v>
      </c>
      <c r="AK13" s="15">
        <v>973003.49999999988</v>
      </c>
      <c r="AL13" s="15">
        <v>5513686.5</v>
      </c>
    </row>
    <row r="14" spans="1:41" x14ac:dyDescent="0.3">
      <c r="A14" s="14">
        <v>2</v>
      </c>
      <c r="B14" s="15">
        <v>450000</v>
      </c>
      <c r="E14" s="14">
        <v>2</v>
      </c>
      <c r="F14" s="15">
        <v>112500</v>
      </c>
      <c r="I14" s="14">
        <v>2</v>
      </c>
      <c r="J14" s="15">
        <v>45000</v>
      </c>
      <c r="M14" s="14">
        <v>2</v>
      </c>
      <c r="N14" s="15">
        <v>56250</v>
      </c>
      <c r="P14" s="14">
        <v>2</v>
      </c>
      <c r="Q14" s="15">
        <v>25650</v>
      </c>
      <c r="S14" s="14">
        <v>2</v>
      </c>
      <c r="T14" s="15">
        <v>14400</v>
      </c>
      <c r="V14" s="14">
        <v>2</v>
      </c>
      <c r="W14" s="15">
        <v>703800</v>
      </c>
      <c r="Y14" s="14">
        <v>2</v>
      </c>
      <c r="Z14" s="15">
        <v>8797.5</v>
      </c>
      <c r="AB14" s="14">
        <v>2</v>
      </c>
      <c r="AC14" s="15">
        <v>695002.5</v>
      </c>
      <c r="AE14" s="14">
        <v>2</v>
      </c>
      <c r="AF14" s="15">
        <v>8340030</v>
      </c>
      <c r="AH14" s="14">
        <v>2</v>
      </c>
      <c r="AI14" s="15">
        <v>8340030</v>
      </c>
      <c r="AJ14" s="15">
        <v>105570</v>
      </c>
      <c r="AK14" s="15">
        <v>1251004.5</v>
      </c>
      <c r="AL14" s="15">
        <v>7089025.5</v>
      </c>
    </row>
    <row r="15" spans="1:41" x14ac:dyDescent="0.3">
      <c r="A15" s="14">
        <v>3</v>
      </c>
      <c r="B15" s="15">
        <v>480000</v>
      </c>
      <c r="E15" s="14">
        <v>3</v>
      </c>
      <c r="F15" s="15">
        <v>120000</v>
      </c>
      <c r="I15" s="14">
        <v>3</v>
      </c>
      <c r="J15" s="15">
        <v>48000</v>
      </c>
      <c r="M15" s="14">
        <v>3</v>
      </c>
      <c r="N15" s="15">
        <v>60000</v>
      </c>
      <c r="P15" s="14">
        <v>3</v>
      </c>
      <c r="Q15" s="15">
        <v>27360</v>
      </c>
      <c r="S15" s="14">
        <v>3</v>
      </c>
      <c r="T15" s="15">
        <v>15360</v>
      </c>
      <c r="V15" s="14">
        <v>3</v>
      </c>
      <c r="W15" s="15">
        <v>750720</v>
      </c>
      <c r="Y15" s="14">
        <v>3</v>
      </c>
      <c r="Z15" s="15">
        <v>9384</v>
      </c>
      <c r="AB15" s="14">
        <v>3</v>
      </c>
      <c r="AC15" s="15">
        <v>741336</v>
      </c>
      <c r="AE15" s="14">
        <v>3</v>
      </c>
      <c r="AF15" s="15">
        <v>8896032</v>
      </c>
      <c r="AH15" s="14">
        <v>3</v>
      </c>
      <c r="AI15" s="15">
        <v>8896032</v>
      </c>
      <c r="AJ15" s="15">
        <v>112608</v>
      </c>
      <c r="AK15" s="15">
        <v>1334404.8</v>
      </c>
      <c r="AL15" s="15">
        <v>7561627.2000000002</v>
      </c>
    </row>
    <row r="16" spans="1:41" x14ac:dyDescent="0.3">
      <c r="A16" s="14">
        <v>4</v>
      </c>
      <c r="B16" s="15">
        <v>510000</v>
      </c>
      <c r="E16" s="14">
        <v>4</v>
      </c>
      <c r="F16" s="15">
        <v>127500</v>
      </c>
      <c r="I16" s="14">
        <v>4</v>
      </c>
      <c r="J16" s="15">
        <v>51000</v>
      </c>
      <c r="M16" s="14">
        <v>4</v>
      </c>
      <c r="N16" s="15">
        <v>63750</v>
      </c>
      <c r="P16" s="14">
        <v>4</v>
      </c>
      <c r="Q16" s="15">
        <v>29070</v>
      </c>
      <c r="S16" s="14">
        <v>4</v>
      </c>
      <c r="T16" s="15">
        <v>16320</v>
      </c>
      <c r="V16" s="14">
        <v>4</v>
      </c>
      <c r="W16" s="15">
        <v>797640</v>
      </c>
      <c r="Y16" s="14">
        <v>4</v>
      </c>
      <c r="Z16" s="15">
        <v>9970.5</v>
      </c>
      <c r="AB16" s="14">
        <v>4</v>
      </c>
      <c r="AC16" s="15">
        <v>787669.5</v>
      </c>
      <c r="AE16" s="14">
        <v>4</v>
      </c>
      <c r="AF16" s="15">
        <v>9452034</v>
      </c>
      <c r="AH16" s="14">
        <v>4</v>
      </c>
      <c r="AI16" s="15">
        <v>9452034</v>
      </c>
      <c r="AJ16" s="15">
        <v>119646</v>
      </c>
      <c r="AK16" s="15">
        <v>1417805.1</v>
      </c>
      <c r="AL16" s="15">
        <v>8034228.9000000004</v>
      </c>
    </row>
    <row r="17" spans="1:38" x14ac:dyDescent="0.3">
      <c r="A17" s="14">
        <v>5</v>
      </c>
      <c r="B17" s="15">
        <v>450000</v>
      </c>
      <c r="E17" s="14">
        <v>5</v>
      </c>
      <c r="F17" s="15">
        <v>112500</v>
      </c>
      <c r="I17" s="14">
        <v>5</v>
      </c>
      <c r="J17" s="15">
        <v>45000</v>
      </c>
      <c r="M17" s="14">
        <v>5</v>
      </c>
      <c r="N17" s="15">
        <v>56250</v>
      </c>
      <c r="P17" s="14">
        <v>5</v>
      </c>
      <c r="Q17" s="15">
        <v>25650</v>
      </c>
      <c r="S17" s="14">
        <v>5</v>
      </c>
      <c r="T17" s="15">
        <v>14400</v>
      </c>
      <c r="V17" s="14">
        <v>5</v>
      </c>
      <c r="W17" s="15">
        <v>703800</v>
      </c>
      <c r="Y17" s="14">
        <v>5</v>
      </c>
      <c r="Z17" s="15">
        <v>8797.5</v>
      </c>
      <c r="AB17" s="14">
        <v>5</v>
      </c>
      <c r="AC17" s="15">
        <v>695002.5</v>
      </c>
      <c r="AE17" s="14">
        <v>5</v>
      </c>
      <c r="AF17" s="15">
        <v>8340030</v>
      </c>
      <c r="AH17" s="14">
        <v>5</v>
      </c>
      <c r="AI17" s="15">
        <v>8340030</v>
      </c>
      <c r="AJ17" s="15">
        <v>105570</v>
      </c>
      <c r="AK17" s="15">
        <v>1251004.5</v>
      </c>
      <c r="AL17" s="15">
        <v>7089025.5</v>
      </c>
    </row>
    <row r="18" spans="1:38" x14ac:dyDescent="0.3">
      <c r="A18" s="14">
        <v>6</v>
      </c>
      <c r="B18" s="15">
        <v>475000</v>
      </c>
      <c r="E18" s="14">
        <v>6</v>
      </c>
      <c r="F18" s="15">
        <v>118750</v>
      </c>
      <c r="I18" s="14">
        <v>6</v>
      </c>
      <c r="J18" s="15">
        <v>47500</v>
      </c>
      <c r="M18" s="14">
        <v>6</v>
      </c>
      <c r="N18" s="15">
        <v>59375</v>
      </c>
      <c r="P18" s="14">
        <v>6</v>
      </c>
      <c r="Q18" s="15">
        <v>27075</v>
      </c>
      <c r="S18" s="14">
        <v>6</v>
      </c>
      <c r="T18" s="15">
        <v>15200</v>
      </c>
      <c r="V18" s="14">
        <v>6</v>
      </c>
      <c r="W18" s="15">
        <v>742900</v>
      </c>
      <c r="Y18" s="14">
        <v>6</v>
      </c>
      <c r="Z18" s="15">
        <v>9286.25</v>
      </c>
      <c r="AB18" s="14">
        <v>6</v>
      </c>
      <c r="AC18" s="15">
        <v>733613.75</v>
      </c>
      <c r="AE18" s="14">
        <v>6</v>
      </c>
      <c r="AF18" s="15">
        <v>8803365</v>
      </c>
      <c r="AH18" s="14">
        <v>6</v>
      </c>
      <c r="AI18" s="15">
        <v>8803365</v>
      </c>
      <c r="AJ18" s="15">
        <v>111435</v>
      </c>
      <c r="AK18" s="15">
        <v>1320504.75</v>
      </c>
      <c r="AL18" s="15">
        <v>7482860.25</v>
      </c>
    </row>
    <row r="19" spans="1:38" x14ac:dyDescent="0.3">
      <c r="A19" s="14">
        <v>7</v>
      </c>
      <c r="B19" s="15">
        <v>514500</v>
      </c>
      <c r="E19" s="14">
        <v>7</v>
      </c>
      <c r="F19" s="15">
        <v>128625</v>
      </c>
      <c r="I19" s="14">
        <v>7</v>
      </c>
      <c r="J19" s="15">
        <v>51450</v>
      </c>
      <c r="M19" s="14">
        <v>7</v>
      </c>
      <c r="N19" s="15">
        <v>64312.5</v>
      </c>
      <c r="P19" s="14">
        <v>7</v>
      </c>
      <c r="Q19" s="15">
        <v>29326.5</v>
      </c>
      <c r="S19" s="14">
        <v>7</v>
      </c>
      <c r="T19" s="15">
        <v>16464</v>
      </c>
      <c r="V19" s="14">
        <v>7</v>
      </c>
      <c r="W19" s="15">
        <v>804677.99999999988</v>
      </c>
      <c r="Y19" s="14">
        <v>7</v>
      </c>
      <c r="Z19" s="15">
        <v>10058.474999999999</v>
      </c>
      <c r="AB19" s="14">
        <v>7</v>
      </c>
      <c r="AC19" s="15">
        <v>794619.52499999991</v>
      </c>
      <c r="AE19" s="14">
        <v>7</v>
      </c>
      <c r="AF19" s="15">
        <v>9535434.2999999989</v>
      </c>
      <c r="AH19" s="14">
        <v>7</v>
      </c>
      <c r="AI19" s="15">
        <v>9535434.2999999989</v>
      </c>
      <c r="AJ19" s="15">
        <v>120701.69999999998</v>
      </c>
      <c r="AK19" s="15">
        <v>1430315.1449999996</v>
      </c>
      <c r="AL19" s="15">
        <v>8105119.1549999993</v>
      </c>
    </row>
    <row r="20" spans="1:38" x14ac:dyDescent="0.3">
      <c r="A20" s="14">
        <v>8</v>
      </c>
      <c r="B20" s="15">
        <v>677400</v>
      </c>
      <c r="E20" s="14">
        <v>8</v>
      </c>
      <c r="F20" s="15">
        <v>169350</v>
      </c>
      <c r="I20" s="14">
        <v>8</v>
      </c>
      <c r="J20" s="15">
        <v>67740</v>
      </c>
      <c r="M20" s="14">
        <v>8</v>
      </c>
      <c r="N20" s="15">
        <v>84675</v>
      </c>
      <c r="P20" s="14">
        <v>8</v>
      </c>
      <c r="Q20" s="15">
        <v>38611.800000000003</v>
      </c>
      <c r="S20" s="14">
        <v>8</v>
      </c>
      <c r="T20" s="15">
        <v>21676.799999999999</v>
      </c>
      <c r="V20" s="14">
        <v>8</v>
      </c>
      <c r="W20" s="15">
        <v>1059453.5999999999</v>
      </c>
      <c r="Y20" s="14">
        <v>8</v>
      </c>
      <c r="Z20" s="15">
        <v>13243.169999999998</v>
      </c>
      <c r="AB20" s="14">
        <v>8</v>
      </c>
      <c r="AC20" s="15">
        <v>1046210.4299999999</v>
      </c>
      <c r="AE20" s="14">
        <v>8</v>
      </c>
      <c r="AF20" s="15">
        <v>12554525.159999998</v>
      </c>
      <c r="AH20" s="14">
        <v>8</v>
      </c>
      <c r="AI20" s="15">
        <v>12554525.159999998</v>
      </c>
      <c r="AJ20" s="15">
        <v>158918.03999999998</v>
      </c>
      <c r="AK20" s="15">
        <v>1883178.7739999997</v>
      </c>
      <c r="AL20" s="15">
        <v>10671346.385999996</v>
      </c>
    </row>
    <row r="21" spans="1:38" x14ac:dyDescent="0.3">
      <c r="A21" s="14">
        <v>9</v>
      </c>
      <c r="B21" s="15">
        <v>737400</v>
      </c>
      <c r="C21" t="s">
        <v>181</v>
      </c>
      <c r="E21" s="14">
        <v>9</v>
      </c>
      <c r="F21" s="15">
        <v>184350</v>
      </c>
      <c r="I21" s="14">
        <v>9</v>
      </c>
      <c r="J21" s="15">
        <v>73740</v>
      </c>
      <c r="M21" s="14">
        <v>9</v>
      </c>
      <c r="N21" s="15">
        <v>92175</v>
      </c>
      <c r="P21" s="14">
        <v>9</v>
      </c>
      <c r="Q21" s="15">
        <v>42031.8</v>
      </c>
      <c r="S21" s="14">
        <v>9</v>
      </c>
      <c r="T21" s="15">
        <v>23596.799999999999</v>
      </c>
      <c r="V21" s="14">
        <v>9</v>
      </c>
      <c r="W21" s="15">
        <v>1153293.5999999999</v>
      </c>
      <c r="Y21" s="14">
        <v>9</v>
      </c>
      <c r="Z21" s="15">
        <v>14416.169999999998</v>
      </c>
      <c r="AB21" s="14">
        <v>9</v>
      </c>
      <c r="AC21" s="15">
        <v>1138877.43</v>
      </c>
      <c r="AE21" s="14">
        <v>9</v>
      </c>
      <c r="AF21" s="15">
        <v>13666529.159999996</v>
      </c>
      <c r="AH21" s="14">
        <v>9</v>
      </c>
      <c r="AI21" s="15">
        <v>13666529.159999996</v>
      </c>
      <c r="AJ21" s="15">
        <v>172994.03999999998</v>
      </c>
      <c r="AK21" s="15">
        <v>2049979.3739999991</v>
      </c>
      <c r="AL21" s="15">
        <v>11616549.785999997</v>
      </c>
    </row>
    <row r="22" spans="1:38" x14ac:dyDescent="0.3">
      <c r="A22" s="14">
        <v>10</v>
      </c>
      <c r="B22" s="15">
        <v>797400</v>
      </c>
      <c r="E22" s="14">
        <v>10</v>
      </c>
      <c r="F22" s="15">
        <v>199350</v>
      </c>
      <c r="I22" s="14">
        <v>10</v>
      </c>
      <c r="J22" s="15">
        <v>79740</v>
      </c>
      <c r="M22" s="14">
        <v>10</v>
      </c>
      <c r="N22" s="15">
        <v>99675</v>
      </c>
      <c r="P22" s="14">
        <v>10</v>
      </c>
      <c r="Q22" s="15">
        <v>45451.8</v>
      </c>
      <c r="S22" s="14">
        <v>10</v>
      </c>
      <c r="T22" s="15">
        <v>25516.799999999999</v>
      </c>
      <c r="V22" s="14">
        <v>10</v>
      </c>
      <c r="W22" s="15">
        <v>1247133.5999999999</v>
      </c>
      <c r="Y22" s="14">
        <v>10</v>
      </c>
      <c r="Z22" s="15">
        <v>15589.169999999998</v>
      </c>
      <c r="AB22" s="14">
        <v>10</v>
      </c>
      <c r="AC22" s="15">
        <v>1231544.43</v>
      </c>
      <c r="AE22" s="14">
        <v>10</v>
      </c>
      <c r="AF22" s="15">
        <v>14778533.159999996</v>
      </c>
      <c r="AH22" s="14">
        <v>10</v>
      </c>
      <c r="AI22" s="15">
        <v>14778533.159999996</v>
      </c>
      <c r="AJ22" s="15">
        <v>187070.03999999998</v>
      </c>
      <c r="AK22" s="15">
        <v>2216779.9739999995</v>
      </c>
      <c r="AL22" s="15">
        <v>12561753.185999997</v>
      </c>
    </row>
    <row r="23" spans="1:38" x14ac:dyDescent="0.3">
      <c r="A23" s="14">
        <v>11</v>
      </c>
      <c r="B23" s="15">
        <v>714500</v>
      </c>
      <c r="E23" s="14">
        <v>11</v>
      </c>
      <c r="F23" s="15">
        <v>178625</v>
      </c>
      <c r="I23" s="14">
        <v>11</v>
      </c>
      <c r="J23" s="15">
        <v>71450</v>
      </c>
      <c r="M23" s="14">
        <v>11</v>
      </c>
      <c r="N23" s="15">
        <v>89312.5</v>
      </c>
      <c r="P23" s="14">
        <v>11</v>
      </c>
      <c r="Q23" s="15">
        <v>40726.5</v>
      </c>
      <c r="S23" s="14">
        <v>11</v>
      </c>
      <c r="T23" s="15">
        <v>22864</v>
      </c>
      <c r="V23" s="14">
        <v>11</v>
      </c>
      <c r="W23" s="15">
        <v>1117478</v>
      </c>
      <c r="Y23" s="14">
        <v>11</v>
      </c>
      <c r="Z23" s="15">
        <v>13968.474999999999</v>
      </c>
      <c r="AB23" s="14">
        <v>11</v>
      </c>
      <c r="AC23" s="15">
        <v>1103509.5249999999</v>
      </c>
      <c r="AE23" s="14">
        <v>11</v>
      </c>
      <c r="AF23" s="15">
        <v>13242114.299999997</v>
      </c>
      <c r="AH23" s="14">
        <v>11</v>
      </c>
      <c r="AI23" s="15">
        <v>13242114.299999997</v>
      </c>
      <c r="AJ23" s="15">
        <v>167621.69999999998</v>
      </c>
      <c r="AK23" s="15">
        <v>3310528.5749999993</v>
      </c>
      <c r="AL23" s="15">
        <v>9931585.7249999978</v>
      </c>
    </row>
    <row r="24" spans="1:38" x14ac:dyDescent="0.3">
      <c r="A24" s="14">
        <v>12</v>
      </c>
      <c r="B24" s="15">
        <v>764500</v>
      </c>
      <c r="E24" s="14">
        <v>12</v>
      </c>
      <c r="F24" s="15">
        <v>191125</v>
      </c>
      <c r="I24" s="14">
        <v>12</v>
      </c>
      <c r="J24" s="15">
        <v>76450</v>
      </c>
      <c r="M24" s="14">
        <v>12</v>
      </c>
      <c r="N24" s="15">
        <v>95562.5</v>
      </c>
      <c r="P24" s="14">
        <v>12</v>
      </c>
      <c r="Q24" s="15">
        <v>43576.500000000007</v>
      </c>
      <c r="S24" s="14">
        <v>12</v>
      </c>
      <c r="T24" s="15">
        <v>24464</v>
      </c>
      <c r="V24" s="14">
        <v>12</v>
      </c>
      <c r="W24" s="15">
        <v>1195678</v>
      </c>
      <c r="Y24" s="14">
        <v>12</v>
      </c>
      <c r="Z24" s="15">
        <v>14945.974999999999</v>
      </c>
      <c r="AB24" s="14">
        <v>12</v>
      </c>
      <c r="AC24" s="15">
        <v>1180732.0249999999</v>
      </c>
      <c r="AE24" s="14">
        <v>12</v>
      </c>
      <c r="AF24" s="15">
        <v>14168784.299999997</v>
      </c>
      <c r="AH24" s="14">
        <v>12</v>
      </c>
      <c r="AI24" s="15">
        <v>14168784.299999997</v>
      </c>
      <c r="AJ24" s="15">
        <v>179351.69999999998</v>
      </c>
      <c r="AK24" s="15">
        <v>3542196.0749999993</v>
      </c>
      <c r="AL24" s="15">
        <v>10626588.224999998</v>
      </c>
    </row>
    <row r="25" spans="1:38" x14ac:dyDescent="0.3">
      <c r="A25" s="14">
        <v>13</v>
      </c>
      <c r="B25" s="15">
        <v>1058841</v>
      </c>
      <c r="E25" s="14">
        <v>13</v>
      </c>
      <c r="F25" s="15">
        <v>264710.25</v>
      </c>
      <c r="I25" s="14">
        <v>13</v>
      </c>
      <c r="J25" s="15">
        <v>105884.1</v>
      </c>
      <c r="M25" s="14">
        <v>13</v>
      </c>
      <c r="N25" s="15">
        <v>132355.125</v>
      </c>
      <c r="P25" s="14">
        <v>13</v>
      </c>
      <c r="Q25" s="15">
        <v>60353.937000000005</v>
      </c>
      <c r="S25" s="14">
        <v>13</v>
      </c>
      <c r="T25" s="15">
        <v>33882.912000000004</v>
      </c>
      <c r="V25" s="14">
        <v>13</v>
      </c>
      <c r="W25" s="15">
        <v>1656027.3239999998</v>
      </c>
      <c r="Y25" s="14">
        <v>13</v>
      </c>
      <c r="Z25" s="15">
        <v>20700.341550000001</v>
      </c>
      <c r="AB25" s="14">
        <v>13</v>
      </c>
      <c r="AC25" s="15">
        <v>1635326.98245</v>
      </c>
      <c r="AE25" s="14">
        <v>13</v>
      </c>
      <c r="AF25" s="15">
        <v>19623923.7894</v>
      </c>
      <c r="AH25" s="14">
        <v>13</v>
      </c>
      <c r="AI25" s="15">
        <v>19623923.7894</v>
      </c>
      <c r="AJ25" s="15">
        <v>248404.09860000003</v>
      </c>
      <c r="AK25" s="15">
        <v>4905980.94735</v>
      </c>
      <c r="AL25" s="15">
        <v>14717942.842049997</v>
      </c>
    </row>
    <row r="26" spans="1:38" x14ac:dyDescent="0.3">
      <c r="A26" s="14">
        <v>14</v>
      </c>
      <c r="B26" s="15">
        <v>1163841</v>
      </c>
      <c r="E26" s="14">
        <v>14</v>
      </c>
      <c r="F26" s="15">
        <v>290960.25</v>
      </c>
      <c r="I26" s="14">
        <v>14</v>
      </c>
      <c r="J26" s="15">
        <v>116384.1</v>
      </c>
      <c r="M26" s="14">
        <v>14</v>
      </c>
      <c r="N26" s="15">
        <v>145480.125</v>
      </c>
      <c r="P26" s="14">
        <v>14</v>
      </c>
      <c r="Q26" s="15">
        <v>66338.937000000005</v>
      </c>
      <c r="S26" s="14">
        <v>14</v>
      </c>
      <c r="T26" s="15">
        <v>37242.912000000004</v>
      </c>
      <c r="V26" s="14">
        <v>14</v>
      </c>
      <c r="W26" s="15">
        <v>1820247.3239999998</v>
      </c>
      <c r="Y26" s="14">
        <v>14</v>
      </c>
      <c r="Z26" s="15">
        <v>22753.091550000001</v>
      </c>
      <c r="AB26" s="14">
        <v>14</v>
      </c>
      <c r="AC26" s="15">
        <v>1797494.23245</v>
      </c>
      <c r="AE26" s="14">
        <v>14</v>
      </c>
      <c r="AF26" s="15">
        <v>21569930.7894</v>
      </c>
      <c r="AH26" s="14">
        <v>14</v>
      </c>
      <c r="AI26" s="15">
        <v>21569930.7894</v>
      </c>
      <c r="AJ26" s="15">
        <v>273037.09860000003</v>
      </c>
      <c r="AK26" s="15">
        <v>5392482.69735</v>
      </c>
      <c r="AL26" s="15">
        <v>16177448.092049997</v>
      </c>
    </row>
    <row r="27" spans="1:38" x14ac:dyDescent="0.3">
      <c r="A27" s="14">
        <v>15</v>
      </c>
      <c r="B27" s="15">
        <v>1268841</v>
      </c>
      <c r="E27" s="14">
        <v>15</v>
      </c>
      <c r="F27" s="15">
        <v>317210.25</v>
      </c>
      <c r="I27" s="14">
        <v>15</v>
      </c>
      <c r="J27" s="15">
        <v>126884.1</v>
      </c>
      <c r="M27" s="14">
        <v>15</v>
      </c>
      <c r="N27" s="15">
        <v>158605.125</v>
      </c>
      <c r="P27" s="14">
        <v>15</v>
      </c>
      <c r="Q27" s="15">
        <v>72323.937000000005</v>
      </c>
      <c r="S27" s="14">
        <v>15</v>
      </c>
      <c r="T27" s="15">
        <v>40602.911999999997</v>
      </c>
      <c r="V27" s="14">
        <v>15</v>
      </c>
      <c r="W27" s="15">
        <v>1984467.3239999998</v>
      </c>
      <c r="Y27" s="14">
        <v>15</v>
      </c>
      <c r="Z27" s="15">
        <v>24805.841550000001</v>
      </c>
      <c r="AB27" s="14">
        <v>15</v>
      </c>
      <c r="AC27" s="15">
        <v>1959661.48245</v>
      </c>
      <c r="AE27" s="14">
        <v>15</v>
      </c>
      <c r="AF27" s="15">
        <v>23515937.7894</v>
      </c>
      <c r="AH27" s="14">
        <v>15</v>
      </c>
      <c r="AI27" s="15">
        <v>23515937.7894</v>
      </c>
      <c r="AJ27" s="15">
        <v>297670.09860000003</v>
      </c>
      <c r="AK27" s="15">
        <v>5878984.44735</v>
      </c>
      <c r="AL27" s="15">
        <v>17636953.342049997</v>
      </c>
    </row>
    <row r="28" spans="1:38" x14ac:dyDescent="0.3">
      <c r="A28" s="14">
        <v>16</v>
      </c>
      <c r="B28" s="15">
        <v>1373841</v>
      </c>
      <c r="E28" s="14">
        <v>16</v>
      </c>
      <c r="F28" s="15">
        <v>343460.25</v>
      </c>
      <c r="I28" s="14">
        <v>16</v>
      </c>
      <c r="J28" s="15">
        <v>137384.1</v>
      </c>
      <c r="M28" s="14">
        <v>16</v>
      </c>
      <c r="N28" s="15">
        <v>171730.125</v>
      </c>
      <c r="P28" s="14">
        <v>16</v>
      </c>
      <c r="Q28" s="15">
        <v>78308.936999999991</v>
      </c>
      <c r="S28" s="14">
        <v>16</v>
      </c>
      <c r="T28" s="15">
        <v>43962.911999999997</v>
      </c>
      <c r="V28" s="14">
        <v>16</v>
      </c>
      <c r="W28" s="15">
        <v>2148687.324</v>
      </c>
      <c r="Y28" s="14">
        <v>16</v>
      </c>
      <c r="Z28" s="15">
        <v>26858.591550000001</v>
      </c>
      <c r="AB28" s="14">
        <v>16</v>
      </c>
      <c r="AC28" s="15">
        <v>2121828.73245</v>
      </c>
      <c r="AE28" s="14">
        <v>16</v>
      </c>
      <c r="AF28" s="15">
        <v>25461944.7894</v>
      </c>
      <c r="AH28" s="14">
        <v>16</v>
      </c>
      <c r="AI28" s="15">
        <v>25461944.7894</v>
      </c>
      <c r="AJ28" s="15">
        <v>322303.09859999997</v>
      </c>
      <c r="AK28" s="15">
        <v>6365486.19735</v>
      </c>
      <c r="AL28" s="15">
        <v>19096458.592049997</v>
      </c>
    </row>
    <row r="29" spans="1:38" x14ac:dyDescent="0.3">
      <c r="A29" s="14">
        <v>17</v>
      </c>
      <c r="B29" s="15">
        <v>1056315</v>
      </c>
      <c r="E29" s="14">
        <v>17</v>
      </c>
      <c r="F29" s="15">
        <v>264078.75</v>
      </c>
      <c r="I29" s="14">
        <v>17</v>
      </c>
      <c r="J29" s="15">
        <v>105631.50000000001</v>
      </c>
      <c r="M29" s="14">
        <v>17</v>
      </c>
      <c r="N29" s="15">
        <v>132039.375</v>
      </c>
      <c r="P29" s="14">
        <v>17</v>
      </c>
      <c r="Q29" s="15">
        <v>60209.955000000002</v>
      </c>
      <c r="S29" s="14">
        <v>17</v>
      </c>
      <c r="T29" s="15">
        <v>33802.080000000002</v>
      </c>
      <c r="V29" s="14">
        <v>17</v>
      </c>
      <c r="W29" s="15">
        <v>1652076.66</v>
      </c>
      <c r="Y29" s="14">
        <v>17</v>
      </c>
      <c r="Z29" s="15">
        <v>20650.95825</v>
      </c>
      <c r="AB29" s="14">
        <v>17</v>
      </c>
      <c r="AC29" s="15">
        <v>1631425.70175</v>
      </c>
      <c r="AE29" s="14">
        <v>17</v>
      </c>
      <c r="AF29" s="15">
        <v>19577108.421</v>
      </c>
      <c r="AH29" s="14">
        <v>17</v>
      </c>
      <c r="AI29" s="15">
        <v>19577108.421</v>
      </c>
      <c r="AJ29" s="15">
        <v>247811.49899999995</v>
      </c>
      <c r="AK29" s="15">
        <v>4894277.10525</v>
      </c>
      <c r="AL29" s="15">
        <v>14682831.315749999</v>
      </c>
    </row>
    <row r="30" spans="1:38" x14ac:dyDescent="0.3">
      <c r="A30" s="14" t="s">
        <v>129</v>
      </c>
      <c r="B30" s="15">
        <v>12842379</v>
      </c>
      <c r="E30" s="14" t="s">
        <v>129</v>
      </c>
      <c r="F30" s="15">
        <v>3210594.75</v>
      </c>
      <c r="I30" s="14" t="s">
        <v>129</v>
      </c>
      <c r="J30" s="15">
        <v>1284237.8999999999</v>
      </c>
      <c r="M30" s="14" t="s">
        <v>129</v>
      </c>
      <c r="N30" s="15">
        <v>1605297.375</v>
      </c>
      <c r="P30" s="14" t="s">
        <v>129</v>
      </c>
      <c r="Q30" s="15">
        <v>732015.603</v>
      </c>
      <c r="S30" s="14" t="s">
        <v>129</v>
      </c>
      <c r="T30" s="15">
        <v>410956.12800000003</v>
      </c>
      <c r="V30" s="14" t="s">
        <v>129</v>
      </c>
      <c r="W30" s="15">
        <v>20085480.755999997</v>
      </c>
      <c r="Y30" s="14" t="s">
        <v>129</v>
      </c>
      <c r="Z30" s="15">
        <v>251068.50945000004</v>
      </c>
      <c r="AB30" s="14" t="s">
        <v>129</v>
      </c>
      <c r="AC30" s="15">
        <v>19834412.246550001</v>
      </c>
      <c r="AE30" s="14" t="s">
        <v>129</v>
      </c>
      <c r="AF30" s="15">
        <v>238012946.95860001</v>
      </c>
      <c r="AH30" s="14" t="s">
        <v>129</v>
      </c>
      <c r="AI30" s="15">
        <v>238012946.95860001</v>
      </c>
      <c r="AJ30" s="15">
        <v>3012822.1134000001</v>
      </c>
      <c r="AK30" s="15">
        <v>49417916.461649999</v>
      </c>
      <c r="AL30" s="15">
        <v>188595030.49694997</v>
      </c>
    </row>
    <row r="33" spans="1:15" x14ac:dyDescent="0.3">
      <c r="A33" s="13" t="s">
        <v>4</v>
      </c>
      <c r="B33" t="s">
        <v>176</v>
      </c>
      <c r="C33" t="s">
        <v>130</v>
      </c>
      <c r="D33" t="s">
        <v>131</v>
      </c>
      <c r="E33" t="s">
        <v>132</v>
      </c>
      <c r="F33" t="s">
        <v>133</v>
      </c>
      <c r="G33" t="s">
        <v>134</v>
      </c>
      <c r="H33" t="s">
        <v>135</v>
      </c>
      <c r="I33" t="s">
        <v>136</v>
      </c>
      <c r="J33" t="s">
        <v>137</v>
      </c>
      <c r="K33" t="s">
        <v>138</v>
      </c>
      <c r="L33" t="s">
        <v>140</v>
      </c>
      <c r="M33" t="s">
        <v>142</v>
      </c>
      <c r="N33" t="s">
        <v>141</v>
      </c>
    </row>
    <row r="34" spans="1:15" x14ac:dyDescent="0.3">
      <c r="A34" s="14" t="s">
        <v>117</v>
      </c>
      <c r="B34" s="15">
        <v>4283604</v>
      </c>
      <c r="C34" s="15">
        <v>1070901</v>
      </c>
      <c r="D34" s="15">
        <v>428360.39999999997</v>
      </c>
      <c r="E34" s="15">
        <v>535450.5</v>
      </c>
      <c r="F34" s="15">
        <v>244165.42799999996</v>
      </c>
      <c r="G34" s="15">
        <v>137075.32800000004</v>
      </c>
      <c r="H34" s="15">
        <v>6699556.6559999995</v>
      </c>
      <c r="I34" s="15">
        <v>83744.458199999994</v>
      </c>
      <c r="J34" s="15">
        <v>6615812.1978000002</v>
      </c>
      <c r="K34" s="15">
        <v>79389746.373600006</v>
      </c>
      <c r="L34" s="15">
        <v>1004933.4983999999</v>
      </c>
      <c r="M34" s="15">
        <v>63047161.054199986</v>
      </c>
      <c r="N34" s="15">
        <v>16342585.319400001</v>
      </c>
    </row>
    <row r="35" spans="1:15" x14ac:dyDescent="0.3">
      <c r="A35" s="14" t="s">
        <v>120</v>
      </c>
      <c r="B35" s="15">
        <v>2410389</v>
      </c>
      <c r="C35" s="15">
        <v>602597.25</v>
      </c>
      <c r="D35" s="15">
        <v>241038.89999999997</v>
      </c>
      <c r="E35" s="15">
        <v>301298.625</v>
      </c>
      <c r="F35" s="15">
        <v>137392.17300000001</v>
      </c>
      <c r="G35" s="15">
        <v>77132.448000000004</v>
      </c>
      <c r="H35" s="15">
        <v>3769848.3960000002</v>
      </c>
      <c r="I35" s="15">
        <v>47123.104950000001</v>
      </c>
      <c r="J35" s="15">
        <v>3722725.2910499992</v>
      </c>
      <c r="K35" s="15">
        <v>44672703.492600009</v>
      </c>
      <c r="L35" s="15">
        <v>565477.25939999986</v>
      </c>
      <c r="M35" s="15">
        <v>36782530.07745</v>
      </c>
      <c r="N35" s="15">
        <v>7890173.4151499998</v>
      </c>
    </row>
    <row r="36" spans="1:15" x14ac:dyDescent="0.3">
      <c r="A36" s="14" t="s">
        <v>119</v>
      </c>
      <c r="B36" s="15">
        <v>1496741</v>
      </c>
      <c r="C36" s="15">
        <v>374185.25</v>
      </c>
      <c r="D36" s="15">
        <v>149674.1</v>
      </c>
      <c r="E36" s="15">
        <v>187092.625</v>
      </c>
      <c r="F36" s="15">
        <v>85314.236999999994</v>
      </c>
      <c r="G36" s="15">
        <v>47895.712</v>
      </c>
      <c r="H36" s="15">
        <v>2340902.9239999996</v>
      </c>
      <c r="I36" s="15">
        <v>29261.286550000001</v>
      </c>
      <c r="J36" s="15">
        <v>2311641.6374500003</v>
      </c>
      <c r="K36" s="15">
        <v>27739699.6494</v>
      </c>
      <c r="L36" s="15">
        <v>351135.43859999994</v>
      </c>
      <c r="M36" s="15">
        <v>21143750.623049997</v>
      </c>
      <c r="N36" s="15">
        <v>6595949.0263499999</v>
      </c>
    </row>
    <row r="37" spans="1:15" x14ac:dyDescent="0.3">
      <c r="A37" s="14" t="s">
        <v>118</v>
      </c>
      <c r="B37" s="15">
        <v>4651645</v>
      </c>
      <c r="C37" s="15">
        <v>1162911.25</v>
      </c>
      <c r="D37" s="15">
        <v>465164.49999999988</v>
      </c>
      <c r="E37" s="15">
        <v>581455.625</v>
      </c>
      <c r="F37" s="15">
        <v>265143.76499999996</v>
      </c>
      <c r="G37" s="15">
        <v>148852.63999999998</v>
      </c>
      <c r="H37" s="15">
        <v>7275172.7800000012</v>
      </c>
      <c r="I37" s="15">
        <v>90939.659749999992</v>
      </c>
      <c r="J37" s="15">
        <v>7184233.1202500006</v>
      </c>
      <c r="K37" s="15">
        <v>86210797.443000019</v>
      </c>
      <c r="L37" s="15">
        <v>1091275.9169999997</v>
      </c>
      <c r="M37" s="15">
        <v>67621588.742249981</v>
      </c>
      <c r="N37" s="15">
        <v>18589208.700750005</v>
      </c>
    </row>
    <row r="38" spans="1:15" x14ac:dyDescent="0.3">
      <c r="A38" s="14" t="s">
        <v>129</v>
      </c>
      <c r="B38" s="15">
        <v>12842379</v>
      </c>
      <c r="C38" s="15">
        <v>3210594.75</v>
      </c>
      <c r="D38" s="15">
        <v>1284237.8999999999</v>
      </c>
      <c r="E38" s="15">
        <v>1605297.375</v>
      </c>
      <c r="F38" s="15">
        <v>732015.60299999989</v>
      </c>
      <c r="G38" s="15">
        <v>410956.12800000003</v>
      </c>
      <c r="H38" s="15">
        <v>20085480.756000001</v>
      </c>
      <c r="I38" s="15">
        <v>251068.50944999998</v>
      </c>
      <c r="J38" s="15">
        <v>19834412.246550001</v>
      </c>
      <c r="K38" s="15">
        <v>238012946.95860004</v>
      </c>
      <c r="L38" s="15">
        <v>3012822.1133999992</v>
      </c>
      <c r="M38" s="15">
        <v>188595030.49694997</v>
      </c>
      <c r="N38" s="15">
        <v>49417916.461649999</v>
      </c>
    </row>
    <row r="42" spans="1:15" x14ac:dyDescent="0.3">
      <c r="B42" s="13" t="s">
        <v>128</v>
      </c>
      <c r="C42" t="s">
        <v>144</v>
      </c>
      <c r="D42" t="s">
        <v>145</v>
      </c>
      <c r="E42" t="s">
        <v>146</v>
      </c>
      <c r="F42" t="s">
        <v>147</v>
      </c>
      <c r="G42" t="s">
        <v>148</v>
      </c>
      <c r="H42" t="s">
        <v>149</v>
      </c>
      <c r="I42" t="s">
        <v>150</v>
      </c>
      <c r="J42" t="s">
        <v>151</v>
      </c>
      <c r="K42" t="s">
        <v>152</v>
      </c>
      <c r="L42" t="s">
        <v>153</v>
      </c>
      <c r="M42" t="s">
        <v>154</v>
      </c>
      <c r="N42" t="s">
        <v>155</v>
      </c>
      <c r="O42" t="s">
        <v>156</v>
      </c>
    </row>
    <row r="43" spans="1:15" x14ac:dyDescent="0.3">
      <c r="B43" s="14" t="s">
        <v>114</v>
      </c>
      <c r="C43" s="15">
        <v>82272.727272727279</v>
      </c>
      <c r="D43" s="15">
        <v>20568.18181818182</v>
      </c>
      <c r="E43" s="15">
        <v>8227.2727272727279</v>
      </c>
      <c r="F43" s="15">
        <v>10284.09090909091</v>
      </c>
      <c r="G43" s="15">
        <v>4689.545454545455</v>
      </c>
      <c r="H43" s="15">
        <v>2632.7272727272725</v>
      </c>
      <c r="I43" s="15">
        <v>128674.54545454546</v>
      </c>
      <c r="J43" s="15">
        <v>1608.4318181818182</v>
      </c>
      <c r="K43" s="15">
        <v>127066.11363636363</v>
      </c>
      <c r="L43" s="15">
        <v>1524793.3636363635</v>
      </c>
      <c r="M43" s="15">
        <v>19301.18181818182</v>
      </c>
      <c r="N43" s="15">
        <v>228719.00454545455</v>
      </c>
      <c r="O43" s="15">
        <v>1296074.3590909091</v>
      </c>
    </row>
    <row r="44" spans="1:15" x14ac:dyDescent="0.3">
      <c r="B44" s="14" t="s">
        <v>115</v>
      </c>
      <c r="C44" s="15">
        <v>127445.45454545454</v>
      </c>
      <c r="D44" s="15">
        <v>31861.363636363636</v>
      </c>
      <c r="E44" s="15">
        <v>12744.545454545454</v>
      </c>
      <c r="F44" s="15">
        <v>15930.681818181818</v>
      </c>
      <c r="G44" s="15">
        <v>7264.3909090909046</v>
      </c>
      <c r="H44" s="15">
        <v>4078.254545454547</v>
      </c>
      <c r="I44" s="15">
        <v>199324.69090909083</v>
      </c>
      <c r="J44" s="15">
        <v>2491.5586363636371</v>
      </c>
      <c r="K44" s="15">
        <v>196833.13227272732</v>
      </c>
      <c r="L44" s="15">
        <v>2361997.5872727265</v>
      </c>
      <c r="M44" s="15">
        <v>29898.703636363611</v>
      </c>
      <c r="N44" s="15">
        <v>437362.96718181809</v>
      </c>
      <c r="O44" s="15">
        <v>1924634.6200909077</v>
      </c>
    </row>
    <row r="45" spans="1:15" x14ac:dyDescent="0.3">
      <c r="B45" s="14" t="s">
        <v>116</v>
      </c>
      <c r="C45" s="15">
        <v>179444.81818181818</v>
      </c>
      <c r="D45" s="15">
        <v>44861.204545454544</v>
      </c>
      <c r="E45" s="15">
        <v>17944.481818181815</v>
      </c>
      <c r="F45" s="15">
        <v>22430.602272727272</v>
      </c>
      <c r="G45" s="15">
        <v>10228.354636363634</v>
      </c>
      <c r="H45" s="15">
        <v>5742.2341818181803</v>
      </c>
      <c r="I45" s="15">
        <v>280651.69563636382</v>
      </c>
      <c r="J45" s="15">
        <v>3508.146195454543</v>
      </c>
      <c r="K45" s="15">
        <v>277143.54944090906</v>
      </c>
      <c r="L45" s="15">
        <v>3325722.5932909115</v>
      </c>
      <c r="M45" s="15">
        <v>42097.754345454538</v>
      </c>
      <c r="N45" s="15">
        <v>831430.64832272788</v>
      </c>
      <c r="O45" s="15">
        <v>2494291.9449681826</v>
      </c>
    </row>
    <row r="46" spans="1:15" x14ac:dyDescent="0.3">
      <c r="B46" s="14" t="s">
        <v>129</v>
      </c>
      <c r="C46" s="15">
        <v>129721</v>
      </c>
      <c r="D46" s="15">
        <v>32430.25</v>
      </c>
      <c r="E46" s="15">
        <v>12972.100000000015</v>
      </c>
      <c r="F46" s="15">
        <v>16215.125</v>
      </c>
      <c r="G46" s="15">
        <v>7394.0970000000016</v>
      </c>
      <c r="H46" s="15">
        <v>4151.0720000000047</v>
      </c>
      <c r="I46" s="15">
        <v>202883.6439999998</v>
      </c>
      <c r="J46" s="15">
        <v>2536.0455499999994</v>
      </c>
      <c r="K46" s="15">
        <v>200347.59844999967</v>
      </c>
      <c r="L46" s="15">
        <v>2404171.1813999964</v>
      </c>
      <c r="M46" s="15">
        <v>30432.546600000034</v>
      </c>
      <c r="N46" s="15">
        <v>499170.87334999954</v>
      </c>
      <c r="O46" s="15">
        <v>1905000.3080500017</v>
      </c>
    </row>
    <row r="48" spans="1:15" x14ac:dyDescent="0.3">
      <c r="A48" s="13" t="s">
        <v>128</v>
      </c>
      <c r="B48" t="s">
        <v>157</v>
      </c>
      <c r="C48" t="s">
        <v>158</v>
      </c>
      <c r="D48" t="s">
        <v>159</v>
      </c>
      <c r="E48" t="s">
        <v>160</v>
      </c>
      <c r="F48" t="s">
        <v>161</v>
      </c>
      <c r="G48" t="s">
        <v>162</v>
      </c>
      <c r="H48" t="s">
        <v>163</v>
      </c>
      <c r="I48" t="s">
        <v>169</v>
      </c>
      <c r="J48" t="s">
        <v>168</v>
      </c>
      <c r="K48" t="s">
        <v>167</v>
      </c>
      <c r="L48" t="s">
        <v>164</v>
      </c>
      <c r="M48" t="s">
        <v>165</v>
      </c>
      <c r="N48" t="s">
        <v>166</v>
      </c>
    </row>
    <row r="49" spans="1:14" x14ac:dyDescent="0.3">
      <c r="A49" s="14" t="s">
        <v>114</v>
      </c>
      <c r="B49" s="15">
        <v>33</v>
      </c>
      <c r="C49" s="15">
        <v>33</v>
      </c>
      <c r="D49" s="15">
        <v>33</v>
      </c>
      <c r="E49" s="15">
        <v>33</v>
      </c>
      <c r="F49" s="15">
        <v>33</v>
      </c>
      <c r="G49" s="15">
        <v>33</v>
      </c>
      <c r="H49" s="15">
        <v>33</v>
      </c>
      <c r="I49" s="15">
        <v>33</v>
      </c>
      <c r="J49" s="15">
        <v>33</v>
      </c>
      <c r="K49" s="15">
        <v>33</v>
      </c>
      <c r="L49" s="15">
        <v>33</v>
      </c>
      <c r="M49" s="15">
        <v>33</v>
      </c>
      <c r="N49" s="15">
        <v>33</v>
      </c>
    </row>
    <row r="50" spans="1:14" x14ac:dyDescent="0.3">
      <c r="A50" s="14" t="s">
        <v>115</v>
      </c>
      <c r="B50" s="15">
        <v>33</v>
      </c>
      <c r="C50" s="15">
        <v>33</v>
      </c>
      <c r="D50" s="15">
        <v>33</v>
      </c>
      <c r="E50" s="15">
        <v>33</v>
      </c>
      <c r="F50" s="15">
        <v>33</v>
      </c>
      <c r="G50" s="15">
        <v>33</v>
      </c>
      <c r="H50" s="15">
        <v>33</v>
      </c>
      <c r="I50" s="15">
        <v>33</v>
      </c>
      <c r="J50" s="15">
        <v>33</v>
      </c>
      <c r="K50" s="15">
        <v>33</v>
      </c>
      <c r="L50" s="15">
        <v>33</v>
      </c>
      <c r="M50" s="15">
        <v>33</v>
      </c>
      <c r="N50" s="15">
        <v>33</v>
      </c>
    </row>
    <row r="51" spans="1:14" x14ac:dyDescent="0.3">
      <c r="A51" s="14" t="s">
        <v>116</v>
      </c>
      <c r="B51" s="15">
        <v>33</v>
      </c>
      <c r="C51" s="15">
        <v>33</v>
      </c>
      <c r="D51" s="15">
        <v>33</v>
      </c>
      <c r="E51" s="15">
        <v>33</v>
      </c>
      <c r="F51" s="15">
        <v>33</v>
      </c>
      <c r="G51" s="15">
        <v>33</v>
      </c>
      <c r="H51" s="15">
        <v>33</v>
      </c>
      <c r="I51" s="15">
        <v>33</v>
      </c>
      <c r="J51" s="15">
        <v>33</v>
      </c>
      <c r="K51" s="15">
        <v>33</v>
      </c>
      <c r="L51" s="15">
        <v>33</v>
      </c>
      <c r="M51" s="15">
        <v>33</v>
      </c>
      <c r="N51" s="15">
        <v>33</v>
      </c>
    </row>
    <row r="52" spans="1:14" x14ac:dyDescent="0.3">
      <c r="A52" s="14" t="s">
        <v>129</v>
      </c>
      <c r="B52" s="15">
        <v>99</v>
      </c>
      <c r="C52" s="15">
        <v>99</v>
      </c>
      <c r="D52" s="15">
        <v>99</v>
      </c>
      <c r="E52" s="15">
        <v>99</v>
      </c>
      <c r="F52" s="15">
        <v>99</v>
      </c>
      <c r="G52" s="15">
        <v>99</v>
      </c>
      <c r="H52" s="15">
        <v>99</v>
      </c>
      <c r="I52" s="15">
        <v>99</v>
      </c>
      <c r="J52" s="15">
        <v>99</v>
      </c>
      <c r="K52" s="15">
        <v>99</v>
      </c>
      <c r="L52" s="15">
        <v>99</v>
      </c>
      <c r="M52" s="15">
        <v>99</v>
      </c>
      <c r="N52" s="15">
        <v>99</v>
      </c>
    </row>
    <row r="57" spans="1:14" x14ac:dyDescent="0.3">
      <c r="C57" s="13" t="s">
        <v>4</v>
      </c>
      <c r="D57" t="s">
        <v>175</v>
      </c>
    </row>
    <row r="58" spans="1:14" x14ac:dyDescent="0.3">
      <c r="C58" s="14" t="s">
        <v>117</v>
      </c>
      <c r="D58" s="15">
        <v>33</v>
      </c>
    </row>
    <row r="59" spans="1:14" x14ac:dyDescent="0.3">
      <c r="C59" s="14" t="s">
        <v>120</v>
      </c>
      <c r="D59" s="15">
        <v>24</v>
      </c>
    </row>
    <row r="60" spans="1:14" x14ac:dyDescent="0.3">
      <c r="C60" s="14" t="s">
        <v>119</v>
      </c>
      <c r="D60" s="15">
        <v>9</v>
      </c>
    </row>
    <row r="61" spans="1:14" x14ac:dyDescent="0.3">
      <c r="C61" s="14" t="s">
        <v>118</v>
      </c>
      <c r="D61" s="15">
        <v>33</v>
      </c>
    </row>
    <row r="62" spans="1:14" x14ac:dyDescent="0.3">
      <c r="C62" s="14" t="s">
        <v>129</v>
      </c>
      <c r="D62" s="15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E960-5F9D-4633-AE18-5802264C07EB}">
  <dimension ref="A1"/>
  <sheetViews>
    <sheetView tabSelected="1" topLeftCell="D1" zoomScale="88" workbookViewId="0">
      <selection activeCell="P19" sqref="P19"/>
    </sheetView>
  </sheetViews>
  <sheetFormatPr defaultRowHeight="14.4" x14ac:dyDescent="0.3"/>
  <cols>
    <col min="1" max="16384" width="8.88671875" style="18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CE6A-047A-49C2-A13F-079B74926FF7}">
  <dimension ref="A2:C48"/>
  <sheetViews>
    <sheetView topLeftCell="A17" workbookViewId="0">
      <selection activeCell="A2" sqref="A2"/>
    </sheetView>
  </sheetViews>
  <sheetFormatPr defaultRowHeight="14.4" x14ac:dyDescent="0.3"/>
  <cols>
    <col min="1" max="1" width="33.6640625" customWidth="1"/>
    <col min="2" max="2" width="18.77734375" bestFit="1" customWidth="1"/>
    <col min="3" max="3" width="20.21875" customWidth="1"/>
    <col min="4" max="4" width="13.77734375" customWidth="1"/>
  </cols>
  <sheetData>
    <row r="2" spans="1:2" x14ac:dyDescent="0.3">
      <c r="A2" s="16" t="str">
        <f>'piovt table'!D57</f>
        <v>TOTAL EMPLOYEE</v>
      </c>
    </row>
    <row r="3" spans="1:2" x14ac:dyDescent="0.3">
      <c r="A3">
        <f>GETPIVOTDATA("EMPLOYEE ID",'piovt table'!$C$57)</f>
        <v>99</v>
      </c>
    </row>
    <row r="5" spans="1:2" x14ac:dyDescent="0.3">
      <c r="A5" s="16" t="s">
        <v>176</v>
      </c>
    </row>
    <row r="6" spans="1:2" x14ac:dyDescent="0.3">
      <c r="A6">
        <f>GETPIVOTDATA("BASIC SALARY",'piovt table'!$A$3)</f>
        <v>12842379</v>
      </c>
    </row>
    <row r="9" spans="1:2" x14ac:dyDescent="0.3">
      <c r="A9" s="19" t="s">
        <v>179</v>
      </c>
      <c r="B9" s="19"/>
    </row>
    <row r="10" spans="1:2" x14ac:dyDescent="0.3">
      <c r="A10" t="str">
        <f>'piovt table'!A3</f>
        <v>STATUS</v>
      </c>
      <c r="B10" t="str">
        <f>'piovt table'!B3</f>
        <v xml:space="preserve">TOTAL BASIC SALARY </v>
      </c>
    </row>
    <row r="11" spans="1:2" x14ac:dyDescent="0.3">
      <c r="A11" t="str">
        <f>'piovt table'!A4</f>
        <v>CLERK</v>
      </c>
      <c r="B11">
        <f>GETPIVOTDATA("BASIC SALARY",'piovt table'!$A$3,"STATUS","CLERK")</f>
        <v>2715000</v>
      </c>
    </row>
    <row r="12" spans="1:2" x14ac:dyDescent="0.3">
      <c r="A12" t="str">
        <f>'piovt table'!A5</f>
        <v>JUNIOR</v>
      </c>
      <c r="B12">
        <f>GETPIVOTDATA("BASIC SALARY",'piovt table'!$A$3,"STATUS","JUNIOR")</f>
        <v>4205700</v>
      </c>
    </row>
    <row r="13" spans="1:2" x14ac:dyDescent="0.3">
      <c r="A13" t="str">
        <f>'piovt table'!A6</f>
        <v>SENIOR</v>
      </c>
      <c r="B13">
        <f>GETPIVOTDATA("BASIC SALARY",'piovt table'!$A$3,"STATUS","SENIOR")</f>
        <v>5921679</v>
      </c>
    </row>
    <row r="14" spans="1:2" x14ac:dyDescent="0.3">
      <c r="A14" t="str">
        <f>'piovt table'!A7</f>
        <v>Grand Total</v>
      </c>
      <c r="B14">
        <f>GETPIVOTDATA("BASIC SALARY",'piovt table'!$A$3)</f>
        <v>12842379</v>
      </c>
    </row>
    <row r="17" spans="1:2" x14ac:dyDescent="0.3">
      <c r="A17" s="19" t="s">
        <v>180</v>
      </c>
      <c r="B17" s="19"/>
    </row>
    <row r="18" spans="1:2" x14ac:dyDescent="0.3">
      <c r="A18" t="str">
        <f>'piovt table'!A12</f>
        <v>LEVEL</v>
      </c>
      <c r="B18" t="str">
        <f>'piovt table'!B12</f>
        <v xml:space="preserve">TOTAL BASIC SALARY </v>
      </c>
    </row>
    <row r="19" spans="1:2" x14ac:dyDescent="0.3">
      <c r="A19">
        <f>'piovt table'!A13</f>
        <v>1</v>
      </c>
      <c r="B19">
        <f>GETPIVOTDATA("BASIC SALARY",'piovt table'!$A$12,"LEVEL",1)</f>
        <v>350000</v>
      </c>
    </row>
    <row r="20" spans="1:2" x14ac:dyDescent="0.3">
      <c r="A20">
        <f>'piovt table'!A14</f>
        <v>2</v>
      </c>
      <c r="B20">
        <f>GETPIVOTDATA("BASIC SALARY",'piovt table'!$A$12,"LEVEL",2)</f>
        <v>450000</v>
      </c>
    </row>
    <row r="21" spans="1:2" x14ac:dyDescent="0.3">
      <c r="A21">
        <f>'piovt table'!A15</f>
        <v>3</v>
      </c>
      <c r="B21">
        <f>GETPIVOTDATA("BASIC SALARY",'piovt table'!$A$12,"LEVEL",3)</f>
        <v>480000</v>
      </c>
    </row>
    <row r="22" spans="1:2" x14ac:dyDescent="0.3">
      <c r="A22">
        <f>'piovt table'!A16</f>
        <v>4</v>
      </c>
      <c r="B22">
        <f>GETPIVOTDATA("BASIC SALARY",'piovt table'!$A$12,"LEVEL",4)</f>
        <v>510000</v>
      </c>
    </row>
    <row r="23" spans="1:2" x14ac:dyDescent="0.3">
      <c r="A23">
        <f>'piovt table'!A17</f>
        <v>5</v>
      </c>
      <c r="B23">
        <f>GETPIVOTDATA("BASIC SALARY",'piovt table'!$A$12,"LEVEL",5)</f>
        <v>450000</v>
      </c>
    </row>
    <row r="24" spans="1:2" ht="12" customHeight="1" x14ac:dyDescent="0.3">
      <c r="A24">
        <f>'piovt table'!A18</f>
        <v>6</v>
      </c>
      <c r="B24">
        <f>GETPIVOTDATA("BASIC SALARY",'piovt table'!$A$12,"LEVEL",6)</f>
        <v>475000</v>
      </c>
    </row>
    <row r="25" spans="1:2" hidden="1" x14ac:dyDescent="0.3"/>
    <row r="26" spans="1:2" hidden="1" x14ac:dyDescent="0.3"/>
    <row r="27" spans="1:2" hidden="1" x14ac:dyDescent="0.3"/>
    <row r="28" spans="1:2" hidden="1" x14ac:dyDescent="0.3"/>
    <row r="29" spans="1:2" x14ac:dyDescent="0.3">
      <c r="A29">
        <f>'piovt table'!A19</f>
        <v>7</v>
      </c>
      <c r="B29">
        <f>GETPIVOTDATA("BASIC SALARY",'piovt table'!$A$12,"LEVEL",7)</f>
        <v>514500</v>
      </c>
    </row>
    <row r="30" spans="1:2" x14ac:dyDescent="0.3">
      <c r="A30">
        <f>'piovt table'!A20</f>
        <v>8</v>
      </c>
      <c r="B30">
        <f>GETPIVOTDATA("BASIC SALARY",'piovt table'!$A$12,"LEVEL",8)</f>
        <v>677400</v>
      </c>
    </row>
    <row r="31" spans="1:2" x14ac:dyDescent="0.3">
      <c r="A31">
        <f>'piovt table'!A21</f>
        <v>9</v>
      </c>
      <c r="B31">
        <f>GETPIVOTDATA("BASIC SALARY",'piovt table'!$A$12,"LEVEL",9)</f>
        <v>737400</v>
      </c>
    </row>
    <row r="32" spans="1:2" x14ac:dyDescent="0.3">
      <c r="A32">
        <f>'piovt table'!A22</f>
        <v>10</v>
      </c>
      <c r="B32">
        <f>GETPIVOTDATA("BASIC SALARY",'piovt table'!$A$12,"LEVEL",10)</f>
        <v>797400</v>
      </c>
    </row>
    <row r="33" spans="1:3" x14ac:dyDescent="0.3">
      <c r="A33">
        <f>'piovt table'!A23</f>
        <v>11</v>
      </c>
      <c r="B33">
        <f>GETPIVOTDATA("BASIC SALARY",'piovt table'!$A$12,"LEVEL",11)</f>
        <v>714500</v>
      </c>
    </row>
    <row r="34" spans="1:3" x14ac:dyDescent="0.3">
      <c r="A34">
        <f>'piovt table'!A24</f>
        <v>12</v>
      </c>
      <c r="B34">
        <f>GETPIVOTDATA("BASIC SALARY",'piovt table'!$A$12,"LEVEL",12)</f>
        <v>764500</v>
      </c>
    </row>
    <row r="35" spans="1:3" x14ac:dyDescent="0.3">
      <c r="A35">
        <f>'piovt table'!A25</f>
        <v>13</v>
      </c>
      <c r="B35">
        <f>GETPIVOTDATA("BASIC SALARY",'piovt table'!$A$12,"LEVEL",13)</f>
        <v>1058841</v>
      </c>
    </row>
    <row r="36" spans="1:3" x14ac:dyDescent="0.3">
      <c r="A36">
        <f>'piovt table'!A26</f>
        <v>14</v>
      </c>
      <c r="B36">
        <f>GETPIVOTDATA("BASIC SALARY",'piovt table'!$A$12,"LEVEL",14)</f>
        <v>1163841</v>
      </c>
    </row>
    <row r="37" spans="1:3" x14ac:dyDescent="0.3">
      <c r="A37">
        <f>'piovt table'!A27</f>
        <v>15</v>
      </c>
      <c r="B37">
        <f>GETPIVOTDATA("BASIC SALARY",'piovt table'!$A$12,"LEVEL",15)</f>
        <v>1268841</v>
      </c>
    </row>
    <row r="38" spans="1:3" x14ac:dyDescent="0.3">
      <c r="A38">
        <f>'piovt table'!A28</f>
        <v>16</v>
      </c>
      <c r="B38">
        <f>GETPIVOTDATA("BASIC SALARY",'piovt table'!$A$12,"LEVEL",16)</f>
        <v>1373841</v>
      </c>
    </row>
    <row r="39" spans="1:3" x14ac:dyDescent="0.3">
      <c r="A39">
        <f>'piovt table'!A29</f>
        <v>17</v>
      </c>
      <c r="B39">
        <f>GETPIVOTDATA("BASIC SALARY",'piovt table'!$A$12,"LEVEL",17)</f>
        <v>1056315</v>
      </c>
    </row>
    <row r="40" spans="1:3" x14ac:dyDescent="0.3">
      <c r="A40" s="4" t="str">
        <f>'piovt table'!A30</f>
        <v>Grand Total</v>
      </c>
      <c r="B40" s="4">
        <f>GETPIVOTDATA("BASIC SALARY",'piovt table'!$A$12)</f>
        <v>12842379</v>
      </c>
    </row>
    <row r="42" spans="1:3" x14ac:dyDescent="0.3">
      <c r="A42" s="19" t="s">
        <v>177</v>
      </c>
      <c r="B42" s="19"/>
    </row>
    <row r="43" spans="1:3" x14ac:dyDescent="0.3">
      <c r="A43" s="17" t="str">
        <f>'piovt table'!A33</f>
        <v>DEPARTMENT</v>
      </c>
      <c r="B43" s="17" t="str">
        <f>'piovt table'!B33</f>
        <v>TOTAL BASIC SALARY</v>
      </c>
    </row>
    <row r="44" spans="1:3" x14ac:dyDescent="0.3">
      <c r="A44" s="17" t="str">
        <f>'piovt table'!A34</f>
        <v>ACCOUNTING</v>
      </c>
      <c r="B44" s="17">
        <f>GETPIVOTDATA("TOTAL BASIC SALARY",'piovt table'!$A$33,"DEPARTMENT","ACCOUNTING")</f>
        <v>4283604</v>
      </c>
    </row>
    <row r="45" spans="1:3" x14ac:dyDescent="0.3">
      <c r="A45" s="17" t="str">
        <f>'piovt table'!A35</f>
        <v>ENGINEERING</v>
      </c>
      <c r="B45" s="17">
        <f>GETPIVOTDATA("TOTAL BASIC SALARY",'piovt table'!$A$33,"DEPARTMENT","ENGINEERING")</f>
        <v>2410389</v>
      </c>
    </row>
    <row r="46" spans="1:3" x14ac:dyDescent="0.3">
      <c r="A46" s="17" t="str">
        <f>'piovt table'!A36</f>
        <v>IT</v>
      </c>
      <c r="B46" s="17">
        <f>GETPIVOTDATA("TOTAL BASIC SALARY",'piovt table'!$A$33,"DEPARTMENT","IT")</f>
        <v>1496741</v>
      </c>
    </row>
    <row r="47" spans="1:3" x14ac:dyDescent="0.3">
      <c r="A47" s="17" t="str">
        <f>'piovt table'!A37</f>
        <v>SALES</v>
      </c>
      <c r="B47" s="17">
        <f>GETPIVOTDATA("TOTAL BASIC SALARY",'piovt table'!$A$33,"DEPARTMENT","SALES")</f>
        <v>4651645</v>
      </c>
    </row>
    <row r="48" spans="1:3" x14ac:dyDescent="0.3">
      <c r="A48" s="4" t="str">
        <f>'piovt table'!A38</f>
        <v>Grand Total</v>
      </c>
      <c r="B48" s="4">
        <f>GETPIVOTDATA("TOTAL BASIC SALARY",'piovt table'!$A$33)</f>
        <v>12842379</v>
      </c>
      <c r="C48" s="4"/>
    </row>
  </sheetData>
  <mergeCells count="3">
    <mergeCell ref="A9:B9"/>
    <mergeCell ref="A17:B17"/>
    <mergeCell ref="A42:B4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DAF9-1E7A-4879-94ED-688C5C202FE8}">
  <dimension ref="A1:V142"/>
  <sheetViews>
    <sheetView topLeftCell="I1" zoomScale="90" zoomScaleNormal="90" workbookViewId="0">
      <selection activeCell="P13" sqref="P13"/>
    </sheetView>
  </sheetViews>
  <sheetFormatPr defaultRowHeight="14.4" x14ac:dyDescent="0.3"/>
  <cols>
    <col min="1" max="1" width="18.21875" customWidth="1"/>
    <col min="2" max="2" width="16.77734375" customWidth="1"/>
    <col min="3" max="4" width="17.21875" customWidth="1"/>
    <col min="5" max="5" width="18.6640625" customWidth="1"/>
    <col min="6" max="6" width="19.33203125" customWidth="1"/>
    <col min="7" max="7" width="16.88671875" style="1" customWidth="1"/>
    <col min="8" max="8" width="18.109375" style="1" customWidth="1"/>
    <col min="9" max="9" width="17.6640625" style="1" customWidth="1"/>
    <col min="10" max="10" width="25.88671875" style="1" customWidth="1"/>
    <col min="11" max="11" width="20.44140625" style="1" customWidth="1"/>
    <col min="12" max="13" width="18.77734375" style="1" customWidth="1"/>
    <col min="14" max="14" width="23.6640625" style="1" customWidth="1"/>
    <col min="15" max="15" width="17.6640625" style="1" customWidth="1"/>
    <col min="16" max="16" width="19.6640625" style="1" customWidth="1"/>
    <col min="17" max="17" width="20.109375" style="1" customWidth="1"/>
    <col min="18" max="18" width="20.44140625" style="1" customWidth="1"/>
    <col min="19" max="19" width="17.5546875" style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113</v>
      </c>
      <c r="E1" t="s">
        <v>3</v>
      </c>
      <c r="F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2" t="s">
        <v>17</v>
      </c>
    </row>
    <row r="2" spans="1:19" x14ac:dyDescent="0.3">
      <c r="A2">
        <v>1</v>
      </c>
      <c r="B2">
        <v>10001</v>
      </c>
      <c r="C2" t="s">
        <v>18</v>
      </c>
      <c r="D2">
        <v>1</v>
      </c>
      <c r="E2" t="s">
        <v>114</v>
      </c>
      <c r="F2" t="s">
        <v>117</v>
      </c>
      <c r="G2" s="1">
        <v>70000</v>
      </c>
      <c r="H2" s="1">
        <f>IF(E2="SENIOR",G2*25%,IF(E2="JUNIOR",G2*25%,IF(E2="CLERK",G2*25%,"Value Not Match")))</f>
        <v>17500</v>
      </c>
      <c r="I2" s="1">
        <f>IF(E2="SENIOR",G2*10%,IF(E2="JUNIOR",G2*10%,IF(E2="CLERK",G2*10%,"Value Not Match")))</f>
        <v>7000</v>
      </c>
      <c r="J2" s="1">
        <f>IF(E2="SENIOR",G2*12.5%,IF(E2="JUNIOR",G2*12.5%,IF(E2="CLERK",G2*12.5%,"Value Not Match")))</f>
        <v>8750</v>
      </c>
      <c r="K2" s="1">
        <f>IF(E2="SENIOR",G2*5.7%,IF(E2="JUNIOR",G2*5.7%,IF(E2="CLERK",G2*5.7%,"Value Not Match")))</f>
        <v>3990</v>
      </c>
      <c r="L2" s="1">
        <f>IF(E2="SENIOR",G2*3.2%,IF(E2="JUNIOR",G2*3.2%,IF(E2="CLERK",G2*3.2%,"Value Not Match")))</f>
        <v>2240</v>
      </c>
      <c r="M2" s="1">
        <f>SUM(G2:L2)</f>
        <v>109480</v>
      </c>
      <c r="N2" s="1">
        <f>M2*1.25%</f>
        <v>1368.5</v>
      </c>
      <c r="O2" s="1">
        <f>M2-N2</f>
        <v>108111.5</v>
      </c>
      <c r="P2" s="1">
        <f>O2*12</f>
        <v>1297338</v>
      </c>
      <c r="Q2" s="1">
        <f>N2*12</f>
        <v>16422</v>
      </c>
      <c r="R2" s="1">
        <f>IF(P2&gt;=2500000,P2*25%,IF(P2&gt;=801000,P2*15%,IF(P2&lt;=800000,"Exempted")))</f>
        <v>194600.69999999998</v>
      </c>
      <c r="S2" s="1">
        <f>P2-R2</f>
        <v>1102737.3</v>
      </c>
    </row>
    <row r="3" spans="1:19" x14ac:dyDescent="0.3">
      <c r="A3">
        <v>2</v>
      </c>
      <c r="B3">
        <v>10002</v>
      </c>
      <c r="C3" t="s">
        <v>19</v>
      </c>
      <c r="D3">
        <v>7</v>
      </c>
      <c r="E3" t="s">
        <v>115</v>
      </c>
      <c r="F3" t="s">
        <v>118</v>
      </c>
      <c r="G3" s="1">
        <v>102900</v>
      </c>
      <c r="H3" s="1">
        <f>IF(E3="SENIOR",G3*25%,IF(E3="JUNIOR",G3*25%,IF(E3="CLERK",G3*25%,"Value Not Match")))</f>
        <v>25725</v>
      </c>
      <c r="I3" s="1">
        <f>IF(E3="SENIOR",G3*10%,IF(E3="JUNIOR",G3*10%,IF(E3="CLERK",G3*10%,"Value Not Match")))</f>
        <v>10290</v>
      </c>
      <c r="J3" s="1">
        <f t="shared" ref="J3:J66" si="0">IF(E3="SENIOR",G3*12.5%,IF(E3="JUNIOR",G3*12.5%,IF(E3="CLERK",G3*12.5%,"Value Not Match")))</f>
        <v>12862.5</v>
      </c>
      <c r="K3" s="1">
        <f t="shared" ref="K3:K66" si="1">IF(E3="SENIOR",G3*5.7%,IF(E3="JUNIOR",G3*5.7%,IF(E3="CLERK",G3*5.7%,"Value Not Match")))</f>
        <v>5865.3</v>
      </c>
      <c r="L3" s="1">
        <f t="shared" ref="L3:L66" si="2">IF(E3="SENIOR",G3*3.2%,IF(E3="JUNIOR",G3*3.2%,IF(E3="CLERK",G3*3.2%,"Value Not Match")))</f>
        <v>3292.8</v>
      </c>
      <c r="M3" s="1">
        <f t="shared" ref="M3:M66" si="3">SUM(G3:L3)</f>
        <v>160935.59999999998</v>
      </c>
      <c r="N3" s="1">
        <f t="shared" ref="N3:N66" si="4">M3*1.25%</f>
        <v>2011.6949999999997</v>
      </c>
      <c r="O3" s="1">
        <f t="shared" ref="O3:O66" si="5">M3-N3</f>
        <v>158923.90499999997</v>
      </c>
      <c r="P3" s="1">
        <f t="shared" ref="P3:P66" si="6">O3*12</f>
        <v>1907086.8599999996</v>
      </c>
      <c r="Q3" s="1">
        <f t="shared" ref="Q3:Q66" si="7">N3*12</f>
        <v>24140.339999999997</v>
      </c>
      <c r="R3" s="1">
        <f t="shared" ref="R3:R66" si="8">IF(P3&gt;=2500000,P3*25%,IF(P3&gt;=801000,P3*15%,IF(P3&lt;=800000,"Exempted")))</f>
        <v>286063.02899999992</v>
      </c>
      <c r="S3" s="1">
        <f t="shared" ref="S3:S66" si="9">P3-R3</f>
        <v>1621023.8309999998</v>
      </c>
    </row>
    <row r="4" spans="1:19" x14ac:dyDescent="0.3">
      <c r="A4">
        <v>3</v>
      </c>
      <c r="B4">
        <v>10003</v>
      </c>
      <c r="C4" t="s">
        <v>20</v>
      </c>
      <c r="D4">
        <v>13</v>
      </c>
      <c r="E4" t="s">
        <v>116</v>
      </c>
      <c r="F4" t="s">
        <v>119</v>
      </c>
      <c r="G4" s="1">
        <v>151263</v>
      </c>
      <c r="H4" s="1">
        <f t="shared" ref="H4:H66" si="10">IF(E4="SENIOR",G4*25%,IF(E4="JUNIOR",G4*25%,IF(E4="CLERK",G4*25%,"Value Not Match")))</f>
        <v>37815.75</v>
      </c>
      <c r="I4" s="1">
        <f t="shared" ref="I4:I66" si="11">IF(E4="SENIOR",G4*10%,IF(E4="JUNIOR",G4*10%,IF(E4="CLERK",G4*10%,"Value Not Match")))</f>
        <v>15126.300000000001</v>
      </c>
      <c r="J4" s="1">
        <f t="shared" si="0"/>
        <v>18907.875</v>
      </c>
      <c r="K4" s="1">
        <f t="shared" si="1"/>
        <v>8621.991</v>
      </c>
      <c r="L4" s="1">
        <f t="shared" si="2"/>
        <v>4840.4160000000002</v>
      </c>
      <c r="M4" s="1">
        <f t="shared" si="3"/>
        <v>236575.33199999999</v>
      </c>
      <c r="N4" s="1">
        <f t="shared" si="4"/>
        <v>2957.1916500000002</v>
      </c>
      <c r="O4" s="1">
        <f t="shared" si="5"/>
        <v>233618.14035</v>
      </c>
      <c r="P4" s="1">
        <f t="shared" si="6"/>
        <v>2803417.6842</v>
      </c>
      <c r="Q4" s="1">
        <f t="shared" si="7"/>
        <v>35486.299800000001</v>
      </c>
      <c r="R4" s="1">
        <f t="shared" si="8"/>
        <v>700854.42105</v>
      </c>
      <c r="S4" s="1">
        <f t="shared" si="9"/>
        <v>2102563.26315</v>
      </c>
    </row>
    <row r="5" spans="1:19" x14ac:dyDescent="0.3">
      <c r="A5">
        <v>4</v>
      </c>
      <c r="B5">
        <v>10004</v>
      </c>
      <c r="C5" t="s">
        <v>21</v>
      </c>
      <c r="D5">
        <v>2</v>
      </c>
      <c r="E5" t="s">
        <v>114</v>
      </c>
      <c r="F5" t="s">
        <v>120</v>
      </c>
      <c r="G5" s="1">
        <v>75000</v>
      </c>
      <c r="H5" s="1">
        <f>IF(E5="SENIOR",G5*25%,IF(E5="JUNIOR",G5*25%,IF(E5="CLERK",G5*25%,"Value Not Match")))</f>
        <v>18750</v>
      </c>
      <c r="I5" s="1">
        <f t="shared" si="11"/>
        <v>7500</v>
      </c>
      <c r="J5" s="1">
        <f t="shared" si="0"/>
        <v>9375</v>
      </c>
      <c r="K5" s="1">
        <f t="shared" si="1"/>
        <v>4275</v>
      </c>
      <c r="L5" s="1">
        <f t="shared" si="2"/>
        <v>2400</v>
      </c>
      <c r="M5" s="1">
        <f t="shared" si="3"/>
        <v>117300</v>
      </c>
      <c r="N5" s="1">
        <f t="shared" si="4"/>
        <v>1466.25</v>
      </c>
      <c r="O5" s="1">
        <f t="shared" si="5"/>
        <v>115833.75</v>
      </c>
      <c r="P5" s="1">
        <f t="shared" si="6"/>
        <v>1390005</v>
      </c>
      <c r="Q5" s="1">
        <f t="shared" si="7"/>
        <v>17595</v>
      </c>
      <c r="R5" s="1">
        <f t="shared" si="8"/>
        <v>208500.75</v>
      </c>
      <c r="S5" s="1">
        <f t="shared" si="9"/>
        <v>1181504.25</v>
      </c>
    </row>
    <row r="6" spans="1:19" x14ac:dyDescent="0.3">
      <c r="A6">
        <v>5</v>
      </c>
      <c r="B6">
        <v>10005</v>
      </c>
      <c r="C6" t="s">
        <v>22</v>
      </c>
      <c r="D6">
        <v>8</v>
      </c>
      <c r="E6" t="s">
        <v>115</v>
      </c>
      <c r="F6" t="s">
        <v>117</v>
      </c>
      <c r="G6" s="1">
        <v>112900</v>
      </c>
      <c r="H6" s="1">
        <f t="shared" si="10"/>
        <v>28225</v>
      </c>
      <c r="I6" s="1">
        <f t="shared" si="11"/>
        <v>11290</v>
      </c>
      <c r="J6" s="1">
        <f t="shared" si="0"/>
        <v>14112.5</v>
      </c>
      <c r="K6" s="1">
        <f t="shared" si="1"/>
        <v>6435.3</v>
      </c>
      <c r="L6" s="1">
        <f t="shared" si="2"/>
        <v>3612.8</v>
      </c>
      <c r="M6" s="1">
        <f t="shared" si="3"/>
        <v>176575.59999999998</v>
      </c>
      <c r="N6" s="1">
        <f t="shared" si="4"/>
        <v>2207.1949999999997</v>
      </c>
      <c r="O6" s="1">
        <f t="shared" si="5"/>
        <v>174368.40499999997</v>
      </c>
      <c r="P6" s="1">
        <f t="shared" si="6"/>
        <v>2092420.8599999996</v>
      </c>
      <c r="Q6" s="1">
        <f t="shared" si="7"/>
        <v>26486.339999999997</v>
      </c>
      <c r="R6" s="1">
        <f t="shared" si="8"/>
        <v>313863.12899999996</v>
      </c>
      <c r="S6" s="1">
        <f t="shared" si="9"/>
        <v>1778557.7309999997</v>
      </c>
    </row>
    <row r="7" spans="1:19" x14ac:dyDescent="0.3">
      <c r="A7">
        <v>6</v>
      </c>
      <c r="B7">
        <v>10006</v>
      </c>
      <c r="C7" t="s">
        <v>23</v>
      </c>
      <c r="D7">
        <v>14</v>
      </c>
      <c r="E7" t="s">
        <v>116</v>
      </c>
      <c r="F7" t="s">
        <v>118</v>
      </c>
      <c r="G7" s="1">
        <v>166263</v>
      </c>
      <c r="H7" s="1">
        <f t="shared" si="10"/>
        <v>41565.75</v>
      </c>
      <c r="I7" s="1">
        <f t="shared" si="11"/>
        <v>16626.3</v>
      </c>
      <c r="J7" s="1">
        <f t="shared" si="0"/>
        <v>20782.875</v>
      </c>
      <c r="K7" s="1">
        <f t="shared" si="1"/>
        <v>9476.991</v>
      </c>
      <c r="L7" s="1">
        <f t="shared" si="2"/>
        <v>5320.4160000000002</v>
      </c>
      <c r="M7" s="1">
        <f t="shared" si="3"/>
        <v>260035.33199999999</v>
      </c>
      <c r="N7" s="1">
        <f t="shared" si="4"/>
        <v>3250.4416500000002</v>
      </c>
      <c r="O7" s="1">
        <f t="shared" si="5"/>
        <v>256784.89035</v>
      </c>
      <c r="P7" s="1">
        <f t="shared" si="6"/>
        <v>3081418.6842</v>
      </c>
      <c r="Q7" s="1">
        <f t="shared" si="7"/>
        <v>39005.299800000001</v>
      </c>
      <c r="R7" s="1">
        <f t="shared" si="8"/>
        <v>770354.67105</v>
      </c>
      <c r="S7" s="1">
        <f t="shared" si="9"/>
        <v>2311064.01315</v>
      </c>
    </row>
    <row r="8" spans="1:19" x14ac:dyDescent="0.3">
      <c r="A8">
        <v>7</v>
      </c>
      <c r="B8">
        <v>10007</v>
      </c>
      <c r="C8" t="s">
        <v>24</v>
      </c>
      <c r="D8">
        <v>3</v>
      </c>
      <c r="E8" t="s">
        <v>114</v>
      </c>
      <c r="F8" t="s">
        <v>120</v>
      </c>
      <c r="G8" s="1">
        <v>80000</v>
      </c>
      <c r="H8" s="1">
        <f t="shared" si="10"/>
        <v>20000</v>
      </c>
      <c r="I8" s="1">
        <f t="shared" si="11"/>
        <v>8000</v>
      </c>
      <c r="J8" s="1">
        <f t="shared" si="0"/>
        <v>10000</v>
      </c>
      <c r="K8" s="1">
        <f t="shared" si="1"/>
        <v>4560</v>
      </c>
      <c r="L8" s="1">
        <f t="shared" si="2"/>
        <v>2560</v>
      </c>
      <c r="M8" s="1">
        <f t="shared" si="3"/>
        <v>125120</v>
      </c>
      <c r="N8" s="1">
        <f t="shared" si="4"/>
        <v>1564</v>
      </c>
      <c r="O8" s="1">
        <f t="shared" si="5"/>
        <v>123556</v>
      </c>
      <c r="P8" s="1">
        <f t="shared" si="6"/>
        <v>1482672</v>
      </c>
      <c r="Q8" s="1">
        <f t="shared" si="7"/>
        <v>18768</v>
      </c>
      <c r="R8" s="1">
        <f t="shared" si="8"/>
        <v>222400.8</v>
      </c>
      <c r="S8" s="1">
        <f t="shared" si="9"/>
        <v>1260271.2</v>
      </c>
    </row>
    <row r="9" spans="1:19" x14ac:dyDescent="0.3">
      <c r="A9">
        <v>8</v>
      </c>
      <c r="B9">
        <v>10008</v>
      </c>
      <c r="C9" t="s">
        <v>25</v>
      </c>
      <c r="D9">
        <v>9</v>
      </c>
      <c r="E9" t="s">
        <v>115</v>
      </c>
      <c r="F9" t="s">
        <v>117</v>
      </c>
      <c r="G9" s="1">
        <v>122900</v>
      </c>
      <c r="H9" s="1">
        <f t="shared" si="10"/>
        <v>30725</v>
      </c>
      <c r="I9" s="1">
        <f t="shared" si="11"/>
        <v>12290</v>
      </c>
      <c r="J9" s="1">
        <f t="shared" si="0"/>
        <v>15362.5</v>
      </c>
      <c r="K9" s="1">
        <f t="shared" si="1"/>
        <v>7005.3</v>
      </c>
      <c r="L9" s="1">
        <f t="shared" si="2"/>
        <v>3932.8</v>
      </c>
      <c r="M9" s="1">
        <f t="shared" si="3"/>
        <v>192215.59999999998</v>
      </c>
      <c r="N9" s="1">
        <f t="shared" si="4"/>
        <v>2402.6949999999997</v>
      </c>
      <c r="O9" s="1">
        <f t="shared" si="5"/>
        <v>189812.90499999997</v>
      </c>
      <c r="P9" s="1">
        <f t="shared" si="6"/>
        <v>2277754.8599999994</v>
      </c>
      <c r="Q9" s="1">
        <f t="shared" si="7"/>
        <v>28832.339999999997</v>
      </c>
      <c r="R9" s="1">
        <f t="shared" si="8"/>
        <v>341663.22899999988</v>
      </c>
      <c r="S9" s="1">
        <f t="shared" si="9"/>
        <v>1936091.6309999996</v>
      </c>
    </row>
    <row r="10" spans="1:19" x14ac:dyDescent="0.3">
      <c r="A10">
        <v>9</v>
      </c>
      <c r="B10">
        <v>10009</v>
      </c>
      <c r="C10" t="s">
        <v>26</v>
      </c>
      <c r="D10">
        <v>15</v>
      </c>
      <c r="E10" t="s">
        <v>116</v>
      </c>
      <c r="F10" t="s">
        <v>118</v>
      </c>
      <c r="G10" s="1">
        <v>181263</v>
      </c>
      <c r="H10" s="1">
        <f t="shared" si="10"/>
        <v>45315.75</v>
      </c>
      <c r="I10" s="1">
        <f t="shared" si="11"/>
        <v>18126.3</v>
      </c>
      <c r="J10" s="1">
        <f t="shared" si="0"/>
        <v>22657.875</v>
      </c>
      <c r="K10" s="1">
        <f t="shared" si="1"/>
        <v>10331.991</v>
      </c>
      <c r="L10" s="1">
        <f t="shared" si="2"/>
        <v>5800.4160000000002</v>
      </c>
      <c r="M10" s="1">
        <f t="shared" si="3"/>
        <v>283495.33199999999</v>
      </c>
      <c r="N10" s="1">
        <f t="shared" si="4"/>
        <v>3543.6916500000002</v>
      </c>
      <c r="O10" s="1">
        <f t="shared" si="5"/>
        <v>279951.64035</v>
      </c>
      <c r="P10" s="1">
        <f t="shared" si="6"/>
        <v>3359419.6842</v>
      </c>
      <c r="Q10" s="1">
        <f t="shared" si="7"/>
        <v>42524.299800000001</v>
      </c>
      <c r="R10" s="1">
        <f t="shared" si="8"/>
        <v>839854.92105</v>
      </c>
      <c r="S10" s="1">
        <f t="shared" si="9"/>
        <v>2519564.76315</v>
      </c>
    </row>
    <row r="11" spans="1:19" x14ac:dyDescent="0.3">
      <c r="A11">
        <v>10</v>
      </c>
      <c r="B11">
        <v>10010</v>
      </c>
      <c r="C11" t="s">
        <v>27</v>
      </c>
      <c r="D11">
        <v>4</v>
      </c>
      <c r="E11" t="s">
        <v>114</v>
      </c>
      <c r="F11" t="s">
        <v>120</v>
      </c>
      <c r="G11" s="1">
        <v>85000</v>
      </c>
      <c r="H11" s="1">
        <f t="shared" si="10"/>
        <v>21250</v>
      </c>
      <c r="I11" s="1">
        <f t="shared" si="11"/>
        <v>8500</v>
      </c>
      <c r="J11" s="1">
        <f t="shared" si="0"/>
        <v>10625</v>
      </c>
      <c r="K11" s="1">
        <f t="shared" si="1"/>
        <v>4845</v>
      </c>
      <c r="L11" s="1">
        <f t="shared" si="2"/>
        <v>2720</v>
      </c>
      <c r="M11" s="1">
        <f t="shared" si="3"/>
        <v>132940</v>
      </c>
      <c r="N11" s="1">
        <f t="shared" si="4"/>
        <v>1661.75</v>
      </c>
      <c r="O11" s="1">
        <f t="shared" si="5"/>
        <v>131278.25</v>
      </c>
      <c r="P11" s="1">
        <f t="shared" si="6"/>
        <v>1575339</v>
      </c>
      <c r="Q11" s="1">
        <f t="shared" si="7"/>
        <v>19941</v>
      </c>
      <c r="R11" s="1">
        <f t="shared" si="8"/>
        <v>236300.84999999998</v>
      </c>
      <c r="S11" s="1">
        <f t="shared" si="9"/>
        <v>1339038.1499999999</v>
      </c>
    </row>
    <row r="12" spans="1:19" x14ac:dyDescent="0.3">
      <c r="A12">
        <v>11</v>
      </c>
      <c r="B12">
        <v>10011</v>
      </c>
      <c r="C12" t="s">
        <v>28</v>
      </c>
      <c r="D12">
        <v>10</v>
      </c>
      <c r="E12" t="s">
        <v>115</v>
      </c>
      <c r="F12" t="s">
        <v>118</v>
      </c>
      <c r="G12" s="1">
        <v>132900</v>
      </c>
      <c r="H12" s="1">
        <f t="shared" si="10"/>
        <v>33225</v>
      </c>
      <c r="I12" s="1">
        <f t="shared" si="11"/>
        <v>13290</v>
      </c>
      <c r="J12" s="1">
        <f t="shared" si="0"/>
        <v>16612.5</v>
      </c>
      <c r="K12" s="1">
        <f t="shared" si="1"/>
        <v>7575.3</v>
      </c>
      <c r="L12" s="1">
        <f t="shared" si="2"/>
        <v>4252.8</v>
      </c>
      <c r="M12" s="1">
        <f t="shared" si="3"/>
        <v>207855.59999999998</v>
      </c>
      <c r="N12" s="1">
        <f t="shared" si="4"/>
        <v>2598.1949999999997</v>
      </c>
      <c r="O12" s="1">
        <f t="shared" si="5"/>
        <v>205257.40499999997</v>
      </c>
      <c r="P12" s="1">
        <f t="shared" si="6"/>
        <v>2463088.8599999994</v>
      </c>
      <c r="Q12" s="1">
        <f t="shared" si="7"/>
        <v>31178.339999999997</v>
      </c>
      <c r="R12" s="1">
        <f t="shared" si="8"/>
        <v>369463.32899999991</v>
      </c>
      <c r="S12" s="1">
        <f t="shared" si="9"/>
        <v>2093625.5309999995</v>
      </c>
    </row>
    <row r="13" spans="1:19" x14ac:dyDescent="0.3">
      <c r="A13">
        <v>12</v>
      </c>
      <c r="B13">
        <v>10012</v>
      </c>
      <c r="C13" t="s">
        <v>29</v>
      </c>
      <c r="D13">
        <v>16</v>
      </c>
      <c r="E13" t="s">
        <v>116</v>
      </c>
      <c r="F13" t="s">
        <v>117</v>
      </c>
      <c r="G13" s="1">
        <v>196263</v>
      </c>
      <c r="H13" s="1">
        <f t="shared" si="10"/>
        <v>49065.75</v>
      </c>
      <c r="I13" s="1">
        <f t="shared" si="11"/>
        <v>19626.3</v>
      </c>
      <c r="J13" s="1">
        <f t="shared" si="0"/>
        <v>24532.875</v>
      </c>
      <c r="K13" s="1">
        <f t="shared" si="1"/>
        <v>11186.991</v>
      </c>
      <c r="L13" s="1">
        <f t="shared" si="2"/>
        <v>6280.4160000000002</v>
      </c>
      <c r="M13" s="1">
        <f t="shared" si="3"/>
        <v>306955.33199999999</v>
      </c>
      <c r="N13" s="1">
        <f t="shared" si="4"/>
        <v>3836.9416500000002</v>
      </c>
      <c r="O13" s="1">
        <f t="shared" si="5"/>
        <v>303118.39035</v>
      </c>
      <c r="P13" s="1">
        <f t="shared" si="6"/>
        <v>3637420.6842</v>
      </c>
      <c r="Q13" s="1">
        <f t="shared" si="7"/>
        <v>46043.299800000001</v>
      </c>
      <c r="R13" s="1">
        <f t="shared" si="8"/>
        <v>909355.17105</v>
      </c>
      <c r="S13" s="1">
        <f t="shared" si="9"/>
        <v>2728065.51315</v>
      </c>
    </row>
    <row r="14" spans="1:19" x14ac:dyDescent="0.3">
      <c r="A14">
        <v>13</v>
      </c>
      <c r="B14">
        <v>10013</v>
      </c>
      <c r="C14" t="s">
        <v>30</v>
      </c>
      <c r="D14">
        <v>5</v>
      </c>
      <c r="E14" t="s">
        <v>114</v>
      </c>
      <c r="F14" t="s">
        <v>117</v>
      </c>
      <c r="G14" s="1">
        <v>90000</v>
      </c>
      <c r="H14" s="1">
        <f t="shared" si="10"/>
        <v>22500</v>
      </c>
      <c r="I14" s="1">
        <f t="shared" si="11"/>
        <v>9000</v>
      </c>
      <c r="J14" s="1">
        <f t="shared" si="0"/>
        <v>11250</v>
      </c>
      <c r="K14" s="1">
        <f t="shared" si="1"/>
        <v>5130</v>
      </c>
      <c r="L14" s="1">
        <f t="shared" si="2"/>
        <v>2880</v>
      </c>
      <c r="M14" s="1">
        <f t="shared" si="3"/>
        <v>140760</v>
      </c>
      <c r="N14" s="1">
        <f t="shared" si="4"/>
        <v>1759.5</v>
      </c>
      <c r="O14" s="1">
        <f t="shared" si="5"/>
        <v>139000.5</v>
      </c>
      <c r="P14" s="1">
        <f t="shared" si="6"/>
        <v>1668006</v>
      </c>
      <c r="Q14" s="1">
        <f t="shared" si="7"/>
        <v>21114</v>
      </c>
      <c r="R14" s="1">
        <f t="shared" si="8"/>
        <v>250200.9</v>
      </c>
      <c r="S14" s="1">
        <f t="shared" si="9"/>
        <v>1417805.1</v>
      </c>
    </row>
    <row r="15" spans="1:19" x14ac:dyDescent="0.3">
      <c r="A15">
        <v>14</v>
      </c>
      <c r="B15">
        <v>10014</v>
      </c>
      <c r="C15" t="s">
        <v>31</v>
      </c>
      <c r="D15">
        <v>11</v>
      </c>
      <c r="E15" t="s">
        <v>115</v>
      </c>
      <c r="F15" t="s">
        <v>118</v>
      </c>
      <c r="G15" s="1">
        <v>142900</v>
      </c>
      <c r="H15" s="1">
        <f t="shared" si="10"/>
        <v>35725</v>
      </c>
      <c r="I15" s="1">
        <f t="shared" si="11"/>
        <v>14290</v>
      </c>
      <c r="J15" s="1">
        <f t="shared" si="0"/>
        <v>17862.5</v>
      </c>
      <c r="K15" s="1">
        <f t="shared" si="1"/>
        <v>8145.3</v>
      </c>
      <c r="L15" s="1">
        <f t="shared" si="2"/>
        <v>4572.8</v>
      </c>
      <c r="M15" s="1">
        <f t="shared" si="3"/>
        <v>223495.59999999998</v>
      </c>
      <c r="N15" s="1">
        <f t="shared" si="4"/>
        <v>2793.6949999999997</v>
      </c>
      <c r="O15" s="1">
        <f t="shared" si="5"/>
        <v>220701.90499999997</v>
      </c>
      <c r="P15" s="1">
        <f t="shared" si="6"/>
        <v>2648422.8599999994</v>
      </c>
      <c r="Q15" s="1">
        <f t="shared" si="7"/>
        <v>33524.339999999997</v>
      </c>
      <c r="R15" s="1">
        <f t="shared" si="8"/>
        <v>662105.71499999985</v>
      </c>
      <c r="S15" s="1">
        <f t="shared" si="9"/>
        <v>1986317.1449999996</v>
      </c>
    </row>
    <row r="16" spans="1:19" x14ac:dyDescent="0.3">
      <c r="A16">
        <v>15</v>
      </c>
      <c r="B16">
        <v>10015</v>
      </c>
      <c r="C16" t="s">
        <v>32</v>
      </c>
      <c r="D16">
        <v>17</v>
      </c>
      <c r="E16" t="s">
        <v>116</v>
      </c>
      <c r="F16" t="s">
        <v>119</v>
      </c>
      <c r="G16" s="1">
        <v>211263</v>
      </c>
      <c r="H16" s="1">
        <f t="shared" si="10"/>
        <v>52815.75</v>
      </c>
      <c r="I16" s="1">
        <f t="shared" si="11"/>
        <v>21126.300000000003</v>
      </c>
      <c r="J16" s="1">
        <f t="shared" si="0"/>
        <v>26407.875</v>
      </c>
      <c r="K16" s="1">
        <f t="shared" si="1"/>
        <v>12041.991</v>
      </c>
      <c r="L16" s="1">
        <f t="shared" si="2"/>
        <v>6760.4160000000002</v>
      </c>
      <c r="M16" s="1">
        <f t="shared" si="3"/>
        <v>330415.33199999999</v>
      </c>
      <c r="N16" s="1">
        <f t="shared" si="4"/>
        <v>4130.1916499999998</v>
      </c>
      <c r="O16" s="1">
        <f t="shared" si="5"/>
        <v>326285.14035</v>
      </c>
      <c r="P16" s="1">
        <f t="shared" si="6"/>
        <v>3915421.6842</v>
      </c>
      <c r="Q16" s="1">
        <f t="shared" si="7"/>
        <v>49562.299799999993</v>
      </c>
      <c r="R16" s="1">
        <f t="shared" si="8"/>
        <v>978855.42105</v>
      </c>
      <c r="S16" s="1">
        <f t="shared" si="9"/>
        <v>2936566.26315</v>
      </c>
    </row>
    <row r="17" spans="1:19" x14ac:dyDescent="0.3">
      <c r="A17">
        <v>16</v>
      </c>
      <c r="B17">
        <v>10016</v>
      </c>
      <c r="C17" t="s">
        <v>33</v>
      </c>
      <c r="D17">
        <v>6</v>
      </c>
      <c r="E17" t="s">
        <v>114</v>
      </c>
      <c r="F17" t="s">
        <v>120</v>
      </c>
      <c r="G17" s="1">
        <v>95000</v>
      </c>
      <c r="H17" s="1">
        <f t="shared" si="10"/>
        <v>23750</v>
      </c>
      <c r="I17" s="1">
        <f t="shared" si="11"/>
        <v>9500</v>
      </c>
      <c r="J17" s="1">
        <f t="shared" si="0"/>
        <v>11875</v>
      </c>
      <c r="K17" s="1">
        <f t="shared" si="1"/>
        <v>5415</v>
      </c>
      <c r="L17" s="1">
        <f t="shared" si="2"/>
        <v>3040</v>
      </c>
      <c r="M17" s="1">
        <f t="shared" si="3"/>
        <v>148580</v>
      </c>
      <c r="N17" s="1">
        <f t="shared" si="4"/>
        <v>1857.25</v>
      </c>
      <c r="O17" s="1">
        <f t="shared" si="5"/>
        <v>146722.75</v>
      </c>
      <c r="P17" s="1">
        <f t="shared" si="6"/>
        <v>1760673</v>
      </c>
      <c r="Q17" s="1">
        <f t="shared" si="7"/>
        <v>22287</v>
      </c>
      <c r="R17" s="1">
        <f t="shared" si="8"/>
        <v>264100.95</v>
      </c>
      <c r="S17" s="1">
        <f t="shared" si="9"/>
        <v>1496572.05</v>
      </c>
    </row>
    <row r="18" spans="1:19" x14ac:dyDescent="0.3">
      <c r="A18">
        <v>17</v>
      </c>
      <c r="B18">
        <v>10017</v>
      </c>
      <c r="C18" t="s">
        <v>34</v>
      </c>
      <c r="D18">
        <v>12</v>
      </c>
      <c r="E18" t="s">
        <v>115</v>
      </c>
      <c r="F18" t="s">
        <v>117</v>
      </c>
      <c r="G18" s="1">
        <v>152900</v>
      </c>
      <c r="H18" s="1">
        <f t="shared" si="10"/>
        <v>38225</v>
      </c>
      <c r="I18" s="1">
        <f t="shared" si="11"/>
        <v>15290</v>
      </c>
      <c r="J18" s="1">
        <f t="shared" si="0"/>
        <v>19112.5</v>
      </c>
      <c r="K18" s="1">
        <f t="shared" si="1"/>
        <v>8715.3000000000011</v>
      </c>
      <c r="L18" s="1">
        <f t="shared" si="2"/>
        <v>4892.8</v>
      </c>
      <c r="M18" s="1">
        <f t="shared" si="3"/>
        <v>239135.59999999998</v>
      </c>
      <c r="N18" s="1">
        <f t="shared" si="4"/>
        <v>2989.1949999999997</v>
      </c>
      <c r="O18" s="1">
        <f t="shared" si="5"/>
        <v>236146.40499999997</v>
      </c>
      <c r="P18" s="1">
        <f t="shared" si="6"/>
        <v>2833756.8599999994</v>
      </c>
      <c r="Q18" s="1">
        <f t="shared" si="7"/>
        <v>35870.339999999997</v>
      </c>
      <c r="R18" s="1">
        <f t="shared" si="8"/>
        <v>708439.21499999985</v>
      </c>
      <c r="S18" s="1">
        <f t="shared" si="9"/>
        <v>2125317.6449999996</v>
      </c>
    </row>
    <row r="19" spans="1:19" x14ac:dyDescent="0.3">
      <c r="A19">
        <v>18</v>
      </c>
      <c r="B19">
        <v>10018</v>
      </c>
      <c r="C19" t="s">
        <v>25</v>
      </c>
      <c r="D19">
        <v>13</v>
      </c>
      <c r="E19" t="s">
        <v>116</v>
      </c>
      <c r="F19" t="s">
        <v>118</v>
      </c>
      <c r="G19" s="1">
        <v>151263</v>
      </c>
      <c r="H19" s="1">
        <f t="shared" si="10"/>
        <v>37815.75</v>
      </c>
      <c r="I19" s="1">
        <f t="shared" si="11"/>
        <v>15126.300000000001</v>
      </c>
      <c r="J19" s="1">
        <f t="shared" si="0"/>
        <v>18907.875</v>
      </c>
      <c r="K19" s="1">
        <f t="shared" si="1"/>
        <v>8621.991</v>
      </c>
      <c r="L19" s="1">
        <f t="shared" si="2"/>
        <v>4840.4160000000002</v>
      </c>
      <c r="M19" s="1">
        <f t="shared" si="3"/>
        <v>236575.33199999999</v>
      </c>
      <c r="N19" s="1">
        <f t="shared" si="4"/>
        <v>2957.1916500000002</v>
      </c>
      <c r="O19" s="1">
        <f t="shared" si="5"/>
        <v>233618.14035</v>
      </c>
      <c r="P19" s="1">
        <f t="shared" si="6"/>
        <v>2803417.6842</v>
      </c>
      <c r="Q19" s="1">
        <f t="shared" si="7"/>
        <v>35486.299800000001</v>
      </c>
      <c r="R19" s="1">
        <f t="shared" si="8"/>
        <v>700854.42105</v>
      </c>
      <c r="S19" s="1">
        <f t="shared" si="9"/>
        <v>2102563.26315</v>
      </c>
    </row>
    <row r="20" spans="1:19" x14ac:dyDescent="0.3">
      <c r="A20">
        <v>19</v>
      </c>
      <c r="B20">
        <v>10019</v>
      </c>
      <c r="C20" t="s">
        <v>35</v>
      </c>
      <c r="D20">
        <v>2</v>
      </c>
      <c r="E20" t="s">
        <v>114</v>
      </c>
      <c r="F20" t="s">
        <v>120</v>
      </c>
      <c r="G20" s="1">
        <v>75000</v>
      </c>
      <c r="H20" s="1">
        <f t="shared" si="10"/>
        <v>18750</v>
      </c>
      <c r="I20" s="1">
        <f t="shared" si="11"/>
        <v>7500</v>
      </c>
      <c r="J20" s="1">
        <f t="shared" si="0"/>
        <v>9375</v>
      </c>
      <c r="K20" s="1">
        <f t="shared" si="1"/>
        <v>4275</v>
      </c>
      <c r="L20" s="1">
        <f t="shared" si="2"/>
        <v>2400</v>
      </c>
      <c r="M20" s="1">
        <f t="shared" si="3"/>
        <v>117300</v>
      </c>
      <c r="N20" s="1">
        <f t="shared" si="4"/>
        <v>1466.25</v>
      </c>
      <c r="O20" s="1">
        <f t="shared" si="5"/>
        <v>115833.75</v>
      </c>
      <c r="P20" s="1">
        <f t="shared" si="6"/>
        <v>1390005</v>
      </c>
      <c r="Q20" s="1">
        <f t="shared" si="7"/>
        <v>17595</v>
      </c>
      <c r="R20" s="1">
        <f t="shared" si="8"/>
        <v>208500.75</v>
      </c>
      <c r="S20" s="1">
        <f t="shared" si="9"/>
        <v>1181504.25</v>
      </c>
    </row>
    <row r="21" spans="1:19" x14ac:dyDescent="0.3">
      <c r="A21">
        <v>20</v>
      </c>
      <c r="B21">
        <v>10020</v>
      </c>
      <c r="C21" t="s">
        <v>36</v>
      </c>
      <c r="D21">
        <v>8</v>
      </c>
      <c r="E21" t="s">
        <v>115</v>
      </c>
      <c r="F21" t="s">
        <v>117</v>
      </c>
      <c r="G21" s="1">
        <v>112900</v>
      </c>
      <c r="H21" s="1">
        <f t="shared" si="10"/>
        <v>28225</v>
      </c>
      <c r="I21" s="1">
        <f t="shared" si="11"/>
        <v>11290</v>
      </c>
      <c r="J21" s="1">
        <f t="shared" si="0"/>
        <v>14112.5</v>
      </c>
      <c r="K21" s="1">
        <f t="shared" si="1"/>
        <v>6435.3</v>
      </c>
      <c r="L21" s="1">
        <f t="shared" si="2"/>
        <v>3612.8</v>
      </c>
      <c r="M21" s="1">
        <f t="shared" si="3"/>
        <v>176575.59999999998</v>
      </c>
      <c r="N21" s="1">
        <f t="shared" si="4"/>
        <v>2207.1949999999997</v>
      </c>
      <c r="O21" s="1">
        <f t="shared" si="5"/>
        <v>174368.40499999997</v>
      </c>
      <c r="P21" s="1">
        <f t="shared" si="6"/>
        <v>2092420.8599999996</v>
      </c>
      <c r="Q21" s="1">
        <f t="shared" si="7"/>
        <v>26486.339999999997</v>
      </c>
      <c r="R21" s="1">
        <f t="shared" si="8"/>
        <v>313863.12899999996</v>
      </c>
      <c r="S21" s="1">
        <f t="shared" si="9"/>
        <v>1778557.7309999997</v>
      </c>
    </row>
    <row r="22" spans="1:19" x14ac:dyDescent="0.3">
      <c r="A22">
        <v>21</v>
      </c>
      <c r="B22">
        <v>10021</v>
      </c>
      <c r="C22" t="s">
        <v>37</v>
      </c>
      <c r="D22">
        <v>14</v>
      </c>
      <c r="E22" t="s">
        <v>116</v>
      </c>
      <c r="F22" t="s">
        <v>118</v>
      </c>
      <c r="G22" s="1">
        <v>166263</v>
      </c>
      <c r="H22" s="1">
        <f t="shared" si="10"/>
        <v>41565.75</v>
      </c>
      <c r="I22" s="1">
        <f t="shared" si="11"/>
        <v>16626.3</v>
      </c>
      <c r="J22" s="1">
        <f t="shared" si="0"/>
        <v>20782.875</v>
      </c>
      <c r="K22" s="1">
        <f t="shared" si="1"/>
        <v>9476.991</v>
      </c>
      <c r="L22" s="1">
        <f t="shared" si="2"/>
        <v>5320.4160000000002</v>
      </c>
      <c r="M22" s="1">
        <f t="shared" si="3"/>
        <v>260035.33199999999</v>
      </c>
      <c r="N22" s="1">
        <f t="shared" si="4"/>
        <v>3250.4416500000002</v>
      </c>
      <c r="O22" s="1">
        <f t="shared" si="5"/>
        <v>256784.89035</v>
      </c>
      <c r="P22" s="1">
        <f t="shared" si="6"/>
        <v>3081418.6842</v>
      </c>
      <c r="Q22" s="1">
        <f t="shared" si="7"/>
        <v>39005.299800000001</v>
      </c>
      <c r="R22" s="1">
        <f t="shared" si="8"/>
        <v>770354.67105</v>
      </c>
      <c r="S22" s="1">
        <f t="shared" si="9"/>
        <v>2311064.01315</v>
      </c>
    </row>
    <row r="23" spans="1:19" x14ac:dyDescent="0.3">
      <c r="A23">
        <v>22</v>
      </c>
      <c r="B23">
        <v>10022</v>
      </c>
      <c r="C23" t="s">
        <v>38</v>
      </c>
      <c r="D23">
        <v>3</v>
      </c>
      <c r="E23" t="s">
        <v>114</v>
      </c>
      <c r="F23" t="s">
        <v>120</v>
      </c>
      <c r="G23" s="1">
        <v>80000</v>
      </c>
      <c r="H23" s="1">
        <f t="shared" si="10"/>
        <v>20000</v>
      </c>
      <c r="I23" s="1">
        <f t="shared" si="11"/>
        <v>8000</v>
      </c>
      <c r="J23" s="1">
        <f t="shared" si="0"/>
        <v>10000</v>
      </c>
      <c r="K23" s="1">
        <f t="shared" si="1"/>
        <v>4560</v>
      </c>
      <c r="L23" s="1">
        <f t="shared" si="2"/>
        <v>2560</v>
      </c>
      <c r="M23" s="1">
        <f t="shared" si="3"/>
        <v>125120</v>
      </c>
      <c r="N23" s="1">
        <f t="shared" si="4"/>
        <v>1564</v>
      </c>
      <c r="O23" s="1">
        <f t="shared" si="5"/>
        <v>123556</v>
      </c>
      <c r="P23" s="1">
        <f t="shared" si="6"/>
        <v>1482672</v>
      </c>
      <c r="Q23" s="1">
        <f t="shared" si="7"/>
        <v>18768</v>
      </c>
      <c r="R23" s="1">
        <f t="shared" si="8"/>
        <v>222400.8</v>
      </c>
      <c r="S23" s="1">
        <f t="shared" si="9"/>
        <v>1260271.2</v>
      </c>
    </row>
    <row r="24" spans="1:19" x14ac:dyDescent="0.3">
      <c r="A24">
        <v>23</v>
      </c>
      <c r="B24">
        <v>10023</v>
      </c>
      <c r="C24" t="s">
        <v>39</v>
      </c>
      <c r="D24">
        <v>9</v>
      </c>
      <c r="E24" t="s">
        <v>115</v>
      </c>
      <c r="F24" t="s">
        <v>118</v>
      </c>
      <c r="G24" s="1">
        <v>122900</v>
      </c>
      <c r="H24" s="1">
        <f t="shared" si="10"/>
        <v>30725</v>
      </c>
      <c r="I24" s="1">
        <f t="shared" si="11"/>
        <v>12290</v>
      </c>
      <c r="J24" s="1">
        <f t="shared" si="0"/>
        <v>15362.5</v>
      </c>
      <c r="K24" s="1">
        <f t="shared" si="1"/>
        <v>7005.3</v>
      </c>
      <c r="L24" s="1">
        <f t="shared" si="2"/>
        <v>3932.8</v>
      </c>
      <c r="M24" s="1">
        <f t="shared" si="3"/>
        <v>192215.59999999998</v>
      </c>
      <c r="N24" s="1">
        <f t="shared" si="4"/>
        <v>2402.6949999999997</v>
      </c>
      <c r="O24" s="1">
        <f t="shared" si="5"/>
        <v>189812.90499999997</v>
      </c>
      <c r="P24" s="1">
        <f t="shared" si="6"/>
        <v>2277754.8599999994</v>
      </c>
      <c r="Q24" s="1">
        <f t="shared" si="7"/>
        <v>28832.339999999997</v>
      </c>
      <c r="R24" s="1">
        <f t="shared" si="8"/>
        <v>341663.22899999988</v>
      </c>
      <c r="S24" s="1">
        <f t="shared" si="9"/>
        <v>1936091.6309999996</v>
      </c>
    </row>
    <row r="25" spans="1:19" x14ac:dyDescent="0.3">
      <c r="A25">
        <v>24</v>
      </c>
      <c r="B25">
        <v>10024</v>
      </c>
      <c r="C25" t="s">
        <v>40</v>
      </c>
      <c r="D25">
        <v>15</v>
      </c>
      <c r="E25" t="s">
        <v>116</v>
      </c>
      <c r="F25" t="s">
        <v>117</v>
      </c>
      <c r="G25" s="1">
        <v>181263</v>
      </c>
      <c r="H25" s="1">
        <f t="shared" si="10"/>
        <v>45315.75</v>
      </c>
      <c r="I25" s="1">
        <f t="shared" si="11"/>
        <v>18126.3</v>
      </c>
      <c r="J25" s="1">
        <f t="shared" si="0"/>
        <v>22657.875</v>
      </c>
      <c r="K25" s="1">
        <f t="shared" si="1"/>
        <v>10331.991</v>
      </c>
      <c r="L25" s="1">
        <f t="shared" si="2"/>
        <v>5800.4160000000002</v>
      </c>
      <c r="M25" s="1">
        <f t="shared" si="3"/>
        <v>283495.33199999999</v>
      </c>
      <c r="N25" s="1">
        <f t="shared" si="4"/>
        <v>3543.6916500000002</v>
      </c>
      <c r="O25" s="1">
        <f t="shared" si="5"/>
        <v>279951.64035</v>
      </c>
      <c r="P25" s="1">
        <f t="shared" si="6"/>
        <v>3359419.6842</v>
      </c>
      <c r="Q25" s="1">
        <f t="shared" si="7"/>
        <v>42524.299800000001</v>
      </c>
      <c r="R25" s="1">
        <f t="shared" si="8"/>
        <v>839854.92105</v>
      </c>
      <c r="S25" s="1">
        <f t="shared" si="9"/>
        <v>2519564.76315</v>
      </c>
    </row>
    <row r="26" spans="1:19" x14ac:dyDescent="0.3">
      <c r="A26">
        <v>25</v>
      </c>
      <c r="B26">
        <v>10025</v>
      </c>
      <c r="C26" t="s">
        <v>41</v>
      </c>
      <c r="D26">
        <v>4</v>
      </c>
      <c r="E26" t="s">
        <v>114</v>
      </c>
      <c r="F26" t="s">
        <v>117</v>
      </c>
      <c r="G26" s="1">
        <v>85000</v>
      </c>
      <c r="H26" s="1">
        <f t="shared" si="10"/>
        <v>21250</v>
      </c>
      <c r="I26" s="1">
        <f t="shared" si="11"/>
        <v>8500</v>
      </c>
      <c r="J26" s="1">
        <f t="shared" si="0"/>
        <v>10625</v>
      </c>
      <c r="K26" s="1">
        <f t="shared" si="1"/>
        <v>4845</v>
      </c>
      <c r="L26" s="1">
        <f t="shared" si="2"/>
        <v>2720</v>
      </c>
      <c r="M26" s="1">
        <f t="shared" si="3"/>
        <v>132940</v>
      </c>
      <c r="N26" s="1">
        <f t="shared" si="4"/>
        <v>1661.75</v>
      </c>
      <c r="O26" s="1">
        <f t="shared" si="5"/>
        <v>131278.25</v>
      </c>
      <c r="P26" s="1">
        <f t="shared" si="6"/>
        <v>1575339</v>
      </c>
      <c r="Q26" s="1">
        <f t="shared" si="7"/>
        <v>19941</v>
      </c>
      <c r="R26" s="1">
        <f t="shared" si="8"/>
        <v>236300.84999999998</v>
      </c>
      <c r="S26" s="1">
        <f t="shared" si="9"/>
        <v>1339038.1499999999</v>
      </c>
    </row>
    <row r="27" spans="1:19" x14ac:dyDescent="0.3">
      <c r="A27">
        <v>26</v>
      </c>
      <c r="B27">
        <v>10026</v>
      </c>
      <c r="C27" t="s">
        <v>42</v>
      </c>
      <c r="D27">
        <v>10</v>
      </c>
      <c r="E27" t="s">
        <v>115</v>
      </c>
      <c r="F27" t="s">
        <v>118</v>
      </c>
      <c r="G27" s="1">
        <v>132900</v>
      </c>
      <c r="H27" s="1">
        <f t="shared" si="10"/>
        <v>33225</v>
      </c>
      <c r="I27" s="1">
        <f t="shared" si="11"/>
        <v>13290</v>
      </c>
      <c r="J27" s="1">
        <f t="shared" si="0"/>
        <v>16612.5</v>
      </c>
      <c r="K27" s="1">
        <f t="shared" si="1"/>
        <v>7575.3</v>
      </c>
      <c r="L27" s="1">
        <f t="shared" si="2"/>
        <v>4252.8</v>
      </c>
      <c r="M27" s="1">
        <f t="shared" si="3"/>
        <v>207855.59999999998</v>
      </c>
      <c r="N27" s="1">
        <f t="shared" si="4"/>
        <v>2598.1949999999997</v>
      </c>
      <c r="O27" s="1">
        <f t="shared" si="5"/>
        <v>205257.40499999997</v>
      </c>
      <c r="P27" s="1">
        <f t="shared" si="6"/>
        <v>2463088.8599999994</v>
      </c>
      <c r="Q27" s="1">
        <f t="shared" si="7"/>
        <v>31178.339999999997</v>
      </c>
      <c r="R27" s="1">
        <f t="shared" si="8"/>
        <v>369463.32899999991</v>
      </c>
      <c r="S27" s="1">
        <f t="shared" si="9"/>
        <v>2093625.5309999995</v>
      </c>
    </row>
    <row r="28" spans="1:19" x14ac:dyDescent="0.3">
      <c r="A28">
        <v>27</v>
      </c>
      <c r="B28">
        <v>10027</v>
      </c>
      <c r="C28" t="s">
        <v>43</v>
      </c>
      <c r="D28">
        <v>16</v>
      </c>
      <c r="E28" t="s">
        <v>116</v>
      </c>
      <c r="F28" t="s">
        <v>119</v>
      </c>
      <c r="G28" s="1">
        <v>196263</v>
      </c>
      <c r="H28" s="1">
        <f t="shared" si="10"/>
        <v>49065.75</v>
      </c>
      <c r="I28" s="1">
        <f t="shared" si="11"/>
        <v>19626.3</v>
      </c>
      <c r="J28" s="1">
        <f t="shared" si="0"/>
        <v>24532.875</v>
      </c>
      <c r="K28" s="1">
        <f t="shared" si="1"/>
        <v>11186.991</v>
      </c>
      <c r="L28" s="1">
        <f t="shared" si="2"/>
        <v>6280.4160000000002</v>
      </c>
      <c r="M28" s="1">
        <f t="shared" si="3"/>
        <v>306955.33199999999</v>
      </c>
      <c r="N28" s="1">
        <f t="shared" si="4"/>
        <v>3836.9416500000002</v>
      </c>
      <c r="O28" s="1">
        <f t="shared" si="5"/>
        <v>303118.39035</v>
      </c>
      <c r="P28" s="1">
        <f t="shared" si="6"/>
        <v>3637420.6842</v>
      </c>
      <c r="Q28" s="1">
        <f t="shared" si="7"/>
        <v>46043.299800000001</v>
      </c>
      <c r="R28" s="1">
        <f t="shared" si="8"/>
        <v>909355.17105</v>
      </c>
      <c r="S28" s="1">
        <f t="shared" si="9"/>
        <v>2728065.51315</v>
      </c>
    </row>
    <row r="29" spans="1:19" x14ac:dyDescent="0.3">
      <c r="A29">
        <v>28</v>
      </c>
      <c r="B29">
        <v>10028</v>
      </c>
      <c r="C29" t="s">
        <v>44</v>
      </c>
      <c r="D29">
        <v>5</v>
      </c>
      <c r="E29" t="s">
        <v>114</v>
      </c>
      <c r="F29" t="s">
        <v>120</v>
      </c>
      <c r="G29" s="1">
        <v>90000</v>
      </c>
      <c r="H29" s="1">
        <f t="shared" si="10"/>
        <v>22500</v>
      </c>
      <c r="I29" s="1">
        <f t="shared" si="11"/>
        <v>9000</v>
      </c>
      <c r="J29" s="1">
        <f t="shared" si="0"/>
        <v>11250</v>
      </c>
      <c r="K29" s="1">
        <f t="shared" si="1"/>
        <v>5130</v>
      </c>
      <c r="L29" s="1">
        <f t="shared" si="2"/>
        <v>2880</v>
      </c>
      <c r="M29" s="1">
        <f t="shared" si="3"/>
        <v>140760</v>
      </c>
      <c r="N29" s="1">
        <f t="shared" si="4"/>
        <v>1759.5</v>
      </c>
      <c r="O29" s="1">
        <f t="shared" si="5"/>
        <v>139000.5</v>
      </c>
      <c r="P29" s="1">
        <f t="shared" si="6"/>
        <v>1668006</v>
      </c>
      <c r="Q29" s="1">
        <f t="shared" si="7"/>
        <v>21114</v>
      </c>
      <c r="R29" s="1">
        <f t="shared" si="8"/>
        <v>250200.9</v>
      </c>
      <c r="S29" s="1">
        <f t="shared" si="9"/>
        <v>1417805.1</v>
      </c>
    </row>
    <row r="30" spans="1:19" x14ac:dyDescent="0.3">
      <c r="A30">
        <v>29</v>
      </c>
      <c r="B30">
        <v>10029</v>
      </c>
      <c r="C30" t="s">
        <v>45</v>
      </c>
      <c r="D30">
        <v>11</v>
      </c>
      <c r="E30" t="s">
        <v>115</v>
      </c>
      <c r="F30" t="s">
        <v>117</v>
      </c>
      <c r="G30" s="1">
        <v>142900</v>
      </c>
      <c r="H30" s="1">
        <f t="shared" si="10"/>
        <v>35725</v>
      </c>
      <c r="I30" s="1">
        <f t="shared" si="11"/>
        <v>14290</v>
      </c>
      <c r="J30" s="1">
        <f t="shared" si="0"/>
        <v>17862.5</v>
      </c>
      <c r="K30" s="1">
        <f t="shared" si="1"/>
        <v>8145.3</v>
      </c>
      <c r="L30" s="1">
        <f t="shared" si="2"/>
        <v>4572.8</v>
      </c>
      <c r="M30" s="1">
        <f t="shared" si="3"/>
        <v>223495.59999999998</v>
      </c>
      <c r="N30" s="1">
        <f t="shared" si="4"/>
        <v>2793.6949999999997</v>
      </c>
      <c r="O30" s="1">
        <f t="shared" si="5"/>
        <v>220701.90499999997</v>
      </c>
      <c r="P30" s="1">
        <f t="shared" si="6"/>
        <v>2648422.8599999994</v>
      </c>
      <c r="Q30" s="1">
        <f t="shared" si="7"/>
        <v>33524.339999999997</v>
      </c>
      <c r="R30" s="1">
        <f t="shared" si="8"/>
        <v>662105.71499999985</v>
      </c>
      <c r="S30" s="1">
        <f t="shared" si="9"/>
        <v>1986317.1449999996</v>
      </c>
    </row>
    <row r="31" spans="1:19" x14ac:dyDescent="0.3">
      <c r="A31">
        <v>30</v>
      </c>
      <c r="B31">
        <v>10030</v>
      </c>
      <c r="C31" t="s">
        <v>46</v>
      </c>
      <c r="D31">
        <v>17</v>
      </c>
      <c r="E31" t="s">
        <v>116</v>
      </c>
      <c r="F31" t="s">
        <v>118</v>
      </c>
      <c r="G31" s="1">
        <v>211263</v>
      </c>
      <c r="H31" s="1">
        <f t="shared" si="10"/>
        <v>52815.75</v>
      </c>
      <c r="I31" s="1">
        <f t="shared" si="11"/>
        <v>21126.300000000003</v>
      </c>
      <c r="J31" s="1">
        <f t="shared" si="0"/>
        <v>26407.875</v>
      </c>
      <c r="K31" s="1">
        <f t="shared" si="1"/>
        <v>12041.991</v>
      </c>
      <c r="L31" s="1">
        <f t="shared" si="2"/>
        <v>6760.4160000000002</v>
      </c>
      <c r="M31" s="1">
        <f t="shared" si="3"/>
        <v>330415.33199999999</v>
      </c>
      <c r="N31" s="1">
        <f t="shared" si="4"/>
        <v>4130.1916499999998</v>
      </c>
      <c r="O31" s="1">
        <f t="shared" si="5"/>
        <v>326285.14035</v>
      </c>
      <c r="P31" s="1">
        <f t="shared" si="6"/>
        <v>3915421.6842</v>
      </c>
      <c r="Q31" s="1">
        <f t="shared" si="7"/>
        <v>49562.299799999993</v>
      </c>
      <c r="R31" s="1">
        <f t="shared" si="8"/>
        <v>978855.42105</v>
      </c>
      <c r="S31" s="1">
        <f t="shared" si="9"/>
        <v>2936566.26315</v>
      </c>
    </row>
    <row r="32" spans="1:19" x14ac:dyDescent="0.3">
      <c r="A32">
        <v>31</v>
      </c>
      <c r="B32">
        <v>10031</v>
      </c>
      <c r="C32" t="s">
        <v>47</v>
      </c>
      <c r="D32">
        <v>6</v>
      </c>
      <c r="E32" t="s">
        <v>114</v>
      </c>
      <c r="F32" t="s">
        <v>120</v>
      </c>
      <c r="G32" s="1">
        <v>95000</v>
      </c>
      <c r="H32" s="1">
        <f t="shared" si="10"/>
        <v>23750</v>
      </c>
      <c r="I32" s="1">
        <f t="shared" si="11"/>
        <v>9500</v>
      </c>
      <c r="J32" s="1">
        <f t="shared" si="0"/>
        <v>11875</v>
      </c>
      <c r="K32" s="1">
        <f t="shared" si="1"/>
        <v>5415</v>
      </c>
      <c r="L32" s="1">
        <f t="shared" si="2"/>
        <v>3040</v>
      </c>
      <c r="M32" s="1">
        <f t="shared" si="3"/>
        <v>148580</v>
      </c>
      <c r="N32" s="1">
        <f t="shared" si="4"/>
        <v>1857.25</v>
      </c>
      <c r="O32" s="1">
        <f t="shared" si="5"/>
        <v>146722.75</v>
      </c>
      <c r="P32" s="1">
        <f t="shared" si="6"/>
        <v>1760673</v>
      </c>
      <c r="Q32" s="1">
        <f t="shared" si="7"/>
        <v>22287</v>
      </c>
      <c r="R32" s="1">
        <f t="shared" si="8"/>
        <v>264100.95</v>
      </c>
      <c r="S32" s="1">
        <f t="shared" si="9"/>
        <v>1496572.05</v>
      </c>
    </row>
    <row r="33" spans="1:19" x14ac:dyDescent="0.3">
      <c r="A33">
        <v>32</v>
      </c>
      <c r="B33">
        <v>10032</v>
      </c>
      <c r="C33" t="s">
        <v>48</v>
      </c>
      <c r="D33">
        <v>12</v>
      </c>
      <c r="E33" t="s">
        <v>115</v>
      </c>
      <c r="F33" t="s">
        <v>117</v>
      </c>
      <c r="G33" s="1">
        <v>152900</v>
      </c>
      <c r="H33" s="1">
        <f t="shared" si="10"/>
        <v>38225</v>
      </c>
      <c r="I33" s="1">
        <f t="shared" si="11"/>
        <v>15290</v>
      </c>
      <c r="J33" s="1">
        <f t="shared" si="0"/>
        <v>19112.5</v>
      </c>
      <c r="K33" s="1">
        <f t="shared" si="1"/>
        <v>8715.3000000000011</v>
      </c>
      <c r="L33" s="1">
        <f t="shared" si="2"/>
        <v>4892.8</v>
      </c>
      <c r="M33" s="1">
        <f t="shared" si="3"/>
        <v>239135.59999999998</v>
      </c>
      <c r="N33" s="1">
        <f t="shared" si="4"/>
        <v>2989.1949999999997</v>
      </c>
      <c r="O33" s="1">
        <f t="shared" si="5"/>
        <v>236146.40499999997</v>
      </c>
      <c r="P33" s="1">
        <f t="shared" si="6"/>
        <v>2833756.8599999994</v>
      </c>
      <c r="Q33" s="1">
        <f t="shared" si="7"/>
        <v>35870.339999999997</v>
      </c>
      <c r="R33" s="1">
        <f t="shared" si="8"/>
        <v>708439.21499999985</v>
      </c>
      <c r="S33" s="1">
        <f t="shared" si="9"/>
        <v>2125317.6449999996</v>
      </c>
    </row>
    <row r="34" spans="1:19" x14ac:dyDescent="0.3">
      <c r="A34">
        <v>33</v>
      </c>
      <c r="B34">
        <v>10033</v>
      </c>
      <c r="C34" t="s">
        <v>49</v>
      </c>
      <c r="D34">
        <v>13</v>
      </c>
      <c r="E34" t="s">
        <v>116</v>
      </c>
      <c r="F34" t="s">
        <v>118</v>
      </c>
      <c r="G34" s="1">
        <v>151263</v>
      </c>
      <c r="H34" s="1">
        <f t="shared" si="10"/>
        <v>37815.75</v>
      </c>
      <c r="I34" s="1">
        <f t="shared" si="11"/>
        <v>15126.300000000001</v>
      </c>
      <c r="J34" s="1">
        <f t="shared" si="0"/>
        <v>18907.875</v>
      </c>
      <c r="K34" s="1">
        <f t="shared" si="1"/>
        <v>8621.991</v>
      </c>
      <c r="L34" s="1">
        <f t="shared" si="2"/>
        <v>4840.4160000000002</v>
      </c>
      <c r="M34" s="1">
        <f t="shared" si="3"/>
        <v>236575.33199999999</v>
      </c>
      <c r="N34" s="1">
        <f t="shared" si="4"/>
        <v>2957.1916500000002</v>
      </c>
      <c r="O34" s="1">
        <f t="shared" si="5"/>
        <v>233618.14035</v>
      </c>
      <c r="P34" s="1">
        <f t="shared" si="6"/>
        <v>2803417.6842</v>
      </c>
      <c r="Q34" s="1">
        <f t="shared" si="7"/>
        <v>35486.299800000001</v>
      </c>
      <c r="R34" s="1">
        <f t="shared" si="8"/>
        <v>700854.42105</v>
      </c>
      <c r="S34" s="1">
        <f t="shared" si="9"/>
        <v>2102563.26315</v>
      </c>
    </row>
    <row r="35" spans="1:19" x14ac:dyDescent="0.3">
      <c r="A35">
        <v>34</v>
      </c>
      <c r="B35">
        <v>10034</v>
      </c>
      <c r="C35" t="s">
        <v>50</v>
      </c>
      <c r="D35">
        <v>1</v>
      </c>
      <c r="E35" t="s">
        <v>114</v>
      </c>
      <c r="F35" t="s">
        <v>120</v>
      </c>
      <c r="G35" s="1">
        <v>70000</v>
      </c>
      <c r="H35" s="1">
        <f t="shared" si="10"/>
        <v>17500</v>
      </c>
      <c r="I35" s="1">
        <f t="shared" si="11"/>
        <v>7000</v>
      </c>
      <c r="J35" s="1">
        <f t="shared" si="0"/>
        <v>8750</v>
      </c>
      <c r="K35" s="1">
        <f t="shared" si="1"/>
        <v>3990</v>
      </c>
      <c r="L35" s="1">
        <f t="shared" si="2"/>
        <v>2240</v>
      </c>
      <c r="M35" s="1">
        <f t="shared" si="3"/>
        <v>109480</v>
      </c>
      <c r="N35" s="1">
        <f t="shared" si="4"/>
        <v>1368.5</v>
      </c>
      <c r="O35" s="1">
        <f t="shared" si="5"/>
        <v>108111.5</v>
      </c>
      <c r="P35" s="1">
        <f t="shared" si="6"/>
        <v>1297338</v>
      </c>
      <c r="Q35" s="1">
        <f t="shared" si="7"/>
        <v>16422</v>
      </c>
      <c r="R35" s="1">
        <f t="shared" si="8"/>
        <v>194600.69999999998</v>
      </c>
      <c r="S35" s="1">
        <f t="shared" si="9"/>
        <v>1102737.3</v>
      </c>
    </row>
    <row r="36" spans="1:19" x14ac:dyDescent="0.3">
      <c r="A36">
        <v>35</v>
      </c>
      <c r="B36">
        <v>10035</v>
      </c>
      <c r="C36" t="s">
        <v>51</v>
      </c>
      <c r="D36">
        <v>7</v>
      </c>
      <c r="E36" t="s">
        <v>115</v>
      </c>
      <c r="F36" t="s">
        <v>118</v>
      </c>
      <c r="G36" s="1">
        <v>102900</v>
      </c>
      <c r="H36" s="1">
        <f t="shared" si="10"/>
        <v>25725</v>
      </c>
      <c r="I36" s="1">
        <f t="shared" si="11"/>
        <v>10290</v>
      </c>
      <c r="J36" s="1">
        <f t="shared" si="0"/>
        <v>12862.5</v>
      </c>
      <c r="K36" s="1">
        <f t="shared" si="1"/>
        <v>5865.3</v>
      </c>
      <c r="L36" s="1">
        <f t="shared" si="2"/>
        <v>3292.8</v>
      </c>
      <c r="M36" s="1">
        <f t="shared" si="3"/>
        <v>160935.59999999998</v>
      </c>
      <c r="N36" s="1">
        <f t="shared" si="4"/>
        <v>2011.6949999999997</v>
      </c>
      <c r="O36" s="1">
        <f t="shared" si="5"/>
        <v>158923.90499999997</v>
      </c>
      <c r="P36" s="1">
        <f t="shared" si="6"/>
        <v>1907086.8599999996</v>
      </c>
      <c r="Q36" s="1">
        <f t="shared" si="7"/>
        <v>24140.339999999997</v>
      </c>
      <c r="R36" s="1">
        <f t="shared" si="8"/>
        <v>286063.02899999992</v>
      </c>
      <c r="S36" s="1">
        <f t="shared" si="9"/>
        <v>1621023.8309999998</v>
      </c>
    </row>
    <row r="37" spans="1:19" x14ac:dyDescent="0.3">
      <c r="A37">
        <v>36</v>
      </c>
      <c r="B37">
        <v>10036</v>
      </c>
      <c r="C37" t="s">
        <v>52</v>
      </c>
      <c r="D37">
        <v>14</v>
      </c>
      <c r="E37" t="s">
        <v>116</v>
      </c>
      <c r="F37" t="s">
        <v>117</v>
      </c>
      <c r="G37" s="1">
        <v>166263</v>
      </c>
      <c r="H37" s="1">
        <f t="shared" si="10"/>
        <v>41565.75</v>
      </c>
      <c r="I37" s="1">
        <f t="shared" si="11"/>
        <v>16626.3</v>
      </c>
      <c r="J37" s="1">
        <f t="shared" si="0"/>
        <v>20782.875</v>
      </c>
      <c r="K37" s="1">
        <f t="shared" si="1"/>
        <v>9476.991</v>
      </c>
      <c r="L37" s="1">
        <f t="shared" si="2"/>
        <v>5320.4160000000002</v>
      </c>
      <c r="M37" s="1">
        <f t="shared" si="3"/>
        <v>260035.33199999999</v>
      </c>
      <c r="N37" s="1">
        <f t="shared" si="4"/>
        <v>3250.4416500000002</v>
      </c>
      <c r="O37" s="1">
        <f t="shared" si="5"/>
        <v>256784.89035</v>
      </c>
      <c r="P37" s="1">
        <f t="shared" si="6"/>
        <v>3081418.6842</v>
      </c>
      <c r="Q37" s="1">
        <f t="shared" si="7"/>
        <v>39005.299800000001</v>
      </c>
      <c r="R37" s="1">
        <f t="shared" si="8"/>
        <v>770354.67105</v>
      </c>
      <c r="S37" s="1">
        <f t="shared" si="9"/>
        <v>2311064.01315</v>
      </c>
    </row>
    <row r="38" spans="1:19" x14ac:dyDescent="0.3">
      <c r="A38">
        <v>37</v>
      </c>
      <c r="B38">
        <v>10037</v>
      </c>
      <c r="C38" t="s">
        <v>53</v>
      </c>
      <c r="D38">
        <v>2</v>
      </c>
      <c r="E38" t="s">
        <v>114</v>
      </c>
      <c r="F38" t="s">
        <v>117</v>
      </c>
      <c r="G38" s="1">
        <v>75000</v>
      </c>
      <c r="H38" s="1">
        <f t="shared" si="10"/>
        <v>18750</v>
      </c>
      <c r="I38" s="1">
        <f t="shared" si="11"/>
        <v>7500</v>
      </c>
      <c r="J38" s="1">
        <f t="shared" si="0"/>
        <v>9375</v>
      </c>
      <c r="K38" s="1">
        <f t="shared" si="1"/>
        <v>4275</v>
      </c>
      <c r="L38" s="1">
        <f t="shared" si="2"/>
        <v>2400</v>
      </c>
      <c r="M38" s="1">
        <f t="shared" si="3"/>
        <v>117300</v>
      </c>
      <c r="N38" s="1">
        <f t="shared" si="4"/>
        <v>1466.25</v>
      </c>
      <c r="O38" s="1">
        <f t="shared" si="5"/>
        <v>115833.75</v>
      </c>
      <c r="P38" s="1">
        <f t="shared" si="6"/>
        <v>1390005</v>
      </c>
      <c r="Q38" s="1">
        <f t="shared" si="7"/>
        <v>17595</v>
      </c>
      <c r="R38" s="1">
        <f t="shared" si="8"/>
        <v>208500.75</v>
      </c>
      <c r="S38" s="1">
        <f t="shared" si="9"/>
        <v>1181504.25</v>
      </c>
    </row>
    <row r="39" spans="1:19" x14ac:dyDescent="0.3">
      <c r="A39">
        <v>38</v>
      </c>
      <c r="B39">
        <v>10038</v>
      </c>
      <c r="C39" t="s">
        <v>54</v>
      </c>
      <c r="D39">
        <v>8</v>
      </c>
      <c r="E39" t="s">
        <v>115</v>
      </c>
      <c r="F39" t="s">
        <v>118</v>
      </c>
      <c r="G39" s="1">
        <v>112900</v>
      </c>
      <c r="H39" s="1">
        <f t="shared" si="10"/>
        <v>28225</v>
      </c>
      <c r="I39" s="1">
        <f t="shared" si="11"/>
        <v>11290</v>
      </c>
      <c r="J39" s="1">
        <f t="shared" si="0"/>
        <v>14112.5</v>
      </c>
      <c r="K39" s="1">
        <f t="shared" si="1"/>
        <v>6435.3</v>
      </c>
      <c r="L39" s="1">
        <f t="shared" si="2"/>
        <v>3612.8</v>
      </c>
      <c r="M39" s="1">
        <f t="shared" si="3"/>
        <v>176575.59999999998</v>
      </c>
      <c r="N39" s="1">
        <f t="shared" si="4"/>
        <v>2207.1949999999997</v>
      </c>
      <c r="O39" s="1">
        <f t="shared" si="5"/>
        <v>174368.40499999997</v>
      </c>
      <c r="P39" s="1">
        <f t="shared" si="6"/>
        <v>2092420.8599999996</v>
      </c>
      <c r="Q39" s="1">
        <f t="shared" si="7"/>
        <v>26486.339999999997</v>
      </c>
      <c r="R39" s="1">
        <f t="shared" si="8"/>
        <v>313863.12899999996</v>
      </c>
      <c r="S39" s="1">
        <f t="shared" si="9"/>
        <v>1778557.7309999997</v>
      </c>
    </row>
    <row r="40" spans="1:19" x14ac:dyDescent="0.3">
      <c r="A40">
        <v>39</v>
      </c>
      <c r="B40">
        <v>10039</v>
      </c>
      <c r="C40" t="s">
        <v>55</v>
      </c>
      <c r="D40">
        <v>15</v>
      </c>
      <c r="E40" t="s">
        <v>116</v>
      </c>
      <c r="F40" t="s">
        <v>119</v>
      </c>
      <c r="G40" s="1">
        <v>181263</v>
      </c>
      <c r="H40" s="1">
        <f t="shared" si="10"/>
        <v>45315.75</v>
      </c>
      <c r="I40" s="1">
        <f t="shared" si="11"/>
        <v>18126.3</v>
      </c>
      <c r="J40" s="1">
        <f t="shared" si="0"/>
        <v>22657.875</v>
      </c>
      <c r="K40" s="1">
        <f t="shared" si="1"/>
        <v>10331.991</v>
      </c>
      <c r="L40" s="1">
        <f t="shared" si="2"/>
        <v>5800.4160000000002</v>
      </c>
      <c r="M40" s="1">
        <f t="shared" si="3"/>
        <v>283495.33199999999</v>
      </c>
      <c r="N40" s="1">
        <f t="shared" si="4"/>
        <v>3543.6916500000002</v>
      </c>
      <c r="O40" s="1">
        <f t="shared" si="5"/>
        <v>279951.64035</v>
      </c>
      <c r="P40" s="1">
        <f t="shared" si="6"/>
        <v>3359419.6842</v>
      </c>
      <c r="Q40" s="1">
        <f t="shared" si="7"/>
        <v>42524.299800000001</v>
      </c>
      <c r="R40" s="1">
        <f t="shared" si="8"/>
        <v>839854.92105</v>
      </c>
      <c r="S40" s="1">
        <f t="shared" si="9"/>
        <v>2519564.76315</v>
      </c>
    </row>
    <row r="41" spans="1:19" x14ac:dyDescent="0.3">
      <c r="A41">
        <v>40</v>
      </c>
      <c r="B41">
        <v>10040</v>
      </c>
      <c r="C41" t="s">
        <v>56</v>
      </c>
      <c r="D41">
        <v>3</v>
      </c>
      <c r="E41" t="s">
        <v>114</v>
      </c>
      <c r="F41" t="s">
        <v>120</v>
      </c>
      <c r="G41" s="1">
        <v>80000</v>
      </c>
      <c r="H41" s="1">
        <f t="shared" si="10"/>
        <v>20000</v>
      </c>
      <c r="I41" s="1">
        <f t="shared" si="11"/>
        <v>8000</v>
      </c>
      <c r="J41" s="1">
        <f t="shared" si="0"/>
        <v>10000</v>
      </c>
      <c r="K41" s="1">
        <f t="shared" si="1"/>
        <v>4560</v>
      </c>
      <c r="L41" s="1">
        <f t="shared" si="2"/>
        <v>2560</v>
      </c>
      <c r="M41" s="1">
        <f t="shared" si="3"/>
        <v>125120</v>
      </c>
      <c r="N41" s="1">
        <f t="shared" si="4"/>
        <v>1564</v>
      </c>
      <c r="O41" s="1">
        <f t="shared" si="5"/>
        <v>123556</v>
      </c>
      <c r="P41" s="1">
        <f t="shared" si="6"/>
        <v>1482672</v>
      </c>
      <c r="Q41" s="1">
        <f t="shared" si="7"/>
        <v>18768</v>
      </c>
      <c r="R41" s="1">
        <f t="shared" si="8"/>
        <v>222400.8</v>
      </c>
      <c r="S41" s="1">
        <f t="shared" si="9"/>
        <v>1260271.2</v>
      </c>
    </row>
    <row r="42" spans="1:19" x14ac:dyDescent="0.3">
      <c r="A42">
        <v>41</v>
      </c>
      <c r="B42">
        <v>10041</v>
      </c>
      <c r="C42" t="s">
        <v>57</v>
      </c>
      <c r="D42">
        <v>9</v>
      </c>
      <c r="E42" t="s">
        <v>115</v>
      </c>
      <c r="F42" t="s">
        <v>117</v>
      </c>
      <c r="G42" s="1">
        <v>122900</v>
      </c>
      <c r="H42" s="1">
        <f t="shared" si="10"/>
        <v>30725</v>
      </c>
      <c r="I42" s="1">
        <f t="shared" si="11"/>
        <v>12290</v>
      </c>
      <c r="J42" s="1">
        <f t="shared" si="0"/>
        <v>15362.5</v>
      </c>
      <c r="K42" s="1">
        <f t="shared" si="1"/>
        <v>7005.3</v>
      </c>
      <c r="L42" s="1">
        <f t="shared" si="2"/>
        <v>3932.8</v>
      </c>
      <c r="M42" s="1">
        <f t="shared" si="3"/>
        <v>192215.59999999998</v>
      </c>
      <c r="N42" s="1">
        <f t="shared" si="4"/>
        <v>2402.6949999999997</v>
      </c>
      <c r="O42" s="1">
        <f t="shared" si="5"/>
        <v>189812.90499999997</v>
      </c>
      <c r="P42" s="1">
        <f t="shared" si="6"/>
        <v>2277754.8599999994</v>
      </c>
      <c r="Q42" s="1">
        <f t="shared" si="7"/>
        <v>28832.339999999997</v>
      </c>
      <c r="R42" s="1">
        <f t="shared" si="8"/>
        <v>341663.22899999988</v>
      </c>
      <c r="S42" s="1">
        <f t="shared" si="9"/>
        <v>1936091.6309999996</v>
      </c>
    </row>
    <row r="43" spans="1:19" x14ac:dyDescent="0.3">
      <c r="A43">
        <v>42</v>
      </c>
      <c r="B43">
        <v>10042</v>
      </c>
      <c r="C43" t="s">
        <v>58</v>
      </c>
      <c r="D43">
        <v>16</v>
      </c>
      <c r="E43" t="s">
        <v>116</v>
      </c>
      <c r="F43" t="s">
        <v>118</v>
      </c>
      <c r="G43" s="1">
        <v>196263</v>
      </c>
      <c r="H43" s="1">
        <f t="shared" si="10"/>
        <v>49065.75</v>
      </c>
      <c r="I43" s="1">
        <f t="shared" si="11"/>
        <v>19626.3</v>
      </c>
      <c r="J43" s="1">
        <f t="shared" si="0"/>
        <v>24532.875</v>
      </c>
      <c r="K43" s="1">
        <f t="shared" si="1"/>
        <v>11186.991</v>
      </c>
      <c r="L43" s="1">
        <f t="shared" si="2"/>
        <v>6280.4160000000002</v>
      </c>
      <c r="M43" s="1">
        <f t="shared" si="3"/>
        <v>306955.33199999999</v>
      </c>
      <c r="N43" s="1">
        <f t="shared" si="4"/>
        <v>3836.9416500000002</v>
      </c>
      <c r="O43" s="1">
        <f t="shared" si="5"/>
        <v>303118.39035</v>
      </c>
      <c r="P43" s="1">
        <f t="shared" si="6"/>
        <v>3637420.6842</v>
      </c>
      <c r="Q43" s="1">
        <f t="shared" si="7"/>
        <v>46043.299800000001</v>
      </c>
      <c r="R43" s="1">
        <f t="shared" si="8"/>
        <v>909355.17105</v>
      </c>
      <c r="S43" s="1">
        <f t="shared" si="9"/>
        <v>2728065.51315</v>
      </c>
    </row>
    <row r="44" spans="1:19" x14ac:dyDescent="0.3">
      <c r="A44">
        <v>43</v>
      </c>
      <c r="B44">
        <v>10043</v>
      </c>
      <c r="C44" t="s">
        <v>59</v>
      </c>
      <c r="D44">
        <v>4</v>
      </c>
      <c r="E44" t="s">
        <v>114</v>
      </c>
      <c r="F44" t="s">
        <v>120</v>
      </c>
      <c r="G44" s="1">
        <v>85000</v>
      </c>
      <c r="H44" s="1">
        <f t="shared" si="10"/>
        <v>21250</v>
      </c>
      <c r="I44" s="1">
        <f t="shared" si="11"/>
        <v>8500</v>
      </c>
      <c r="J44" s="1">
        <f t="shared" si="0"/>
        <v>10625</v>
      </c>
      <c r="K44" s="1">
        <f t="shared" si="1"/>
        <v>4845</v>
      </c>
      <c r="L44" s="1">
        <f t="shared" si="2"/>
        <v>2720</v>
      </c>
      <c r="M44" s="1">
        <f t="shared" si="3"/>
        <v>132940</v>
      </c>
      <c r="N44" s="1">
        <f t="shared" si="4"/>
        <v>1661.75</v>
      </c>
      <c r="O44" s="1">
        <f t="shared" si="5"/>
        <v>131278.25</v>
      </c>
      <c r="P44" s="1">
        <f t="shared" si="6"/>
        <v>1575339</v>
      </c>
      <c r="Q44" s="1">
        <f t="shared" si="7"/>
        <v>19941</v>
      </c>
      <c r="R44" s="1">
        <f t="shared" si="8"/>
        <v>236300.84999999998</v>
      </c>
      <c r="S44" s="1">
        <f t="shared" si="9"/>
        <v>1339038.1499999999</v>
      </c>
    </row>
    <row r="45" spans="1:19" x14ac:dyDescent="0.3">
      <c r="A45">
        <v>44</v>
      </c>
      <c r="B45">
        <v>10044</v>
      </c>
      <c r="C45" t="s">
        <v>60</v>
      </c>
      <c r="D45">
        <v>10</v>
      </c>
      <c r="E45" t="s">
        <v>115</v>
      </c>
      <c r="F45" t="s">
        <v>117</v>
      </c>
      <c r="G45" s="1">
        <v>132900</v>
      </c>
      <c r="H45" s="1">
        <f t="shared" si="10"/>
        <v>33225</v>
      </c>
      <c r="I45" s="1">
        <f t="shared" si="11"/>
        <v>13290</v>
      </c>
      <c r="J45" s="1">
        <f t="shared" si="0"/>
        <v>16612.5</v>
      </c>
      <c r="K45" s="1">
        <f t="shared" si="1"/>
        <v>7575.3</v>
      </c>
      <c r="L45" s="1">
        <f t="shared" si="2"/>
        <v>4252.8</v>
      </c>
      <c r="M45" s="1">
        <f t="shared" si="3"/>
        <v>207855.59999999998</v>
      </c>
      <c r="N45" s="1">
        <f t="shared" si="4"/>
        <v>2598.1949999999997</v>
      </c>
      <c r="O45" s="1">
        <f t="shared" si="5"/>
        <v>205257.40499999997</v>
      </c>
      <c r="P45" s="1">
        <f t="shared" si="6"/>
        <v>2463088.8599999994</v>
      </c>
      <c r="Q45" s="1">
        <f t="shared" si="7"/>
        <v>31178.339999999997</v>
      </c>
      <c r="R45" s="1">
        <f t="shared" si="8"/>
        <v>369463.32899999991</v>
      </c>
      <c r="S45" s="1">
        <f t="shared" si="9"/>
        <v>2093625.5309999995</v>
      </c>
    </row>
    <row r="46" spans="1:19" x14ac:dyDescent="0.3">
      <c r="A46">
        <v>45</v>
      </c>
      <c r="B46">
        <v>10045</v>
      </c>
      <c r="C46" t="s">
        <v>61</v>
      </c>
      <c r="D46">
        <v>15</v>
      </c>
      <c r="E46" t="s">
        <v>116</v>
      </c>
      <c r="F46" t="s">
        <v>118</v>
      </c>
      <c r="G46" s="1">
        <v>181263</v>
      </c>
      <c r="H46" s="1">
        <f t="shared" si="10"/>
        <v>45315.75</v>
      </c>
      <c r="I46" s="1">
        <f t="shared" si="11"/>
        <v>18126.3</v>
      </c>
      <c r="J46" s="1">
        <f t="shared" si="0"/>
        <v>22657.875</v>
      </c>
      <c r="K46" s="1">
        <f t="shared" si="1"/>
        <v>10331.991</v>
      </c>
      <c r="L46" s="1">
        <f t="shared" si="2"/>
        <v>5800.4160000000002</v>
      </c>
      <c r="M46" s="1">
        <f t="shared" si="3"/>
        <v>283495.33199999999</v>
      </c>
      <c r="N46" s="1">
        <f t="shared" si="4"/>
        <v>3543.6916500000002</v>
      </c>
      <c r="O46" s="1">
        <f t="shared" si="5"/>
        <v>279951.64035</v>
      </c>
      <c r="P46" s="1">
        <f t="shared" si="6"/>
        <v>3359419.6842</v>
      </c>
      <c r="Q46" s="1">
        <f t="shared" si="7"/>
        <v>42524.299800000001</v>
      </c>
      <c r="R46" s="1">
        <f t="shared" si="8"/>
        <v>839854.92105</v>
      </c>
      <c r="S46" s="1">
        <f t="shared" si="9"/>
        <v>2519564.76315</v>
      </c>
    </row>
    <row r="47" spans="1:19" x14ac:dyDescent="0.3">
      <c r="A47">
        <v>46</v>
      </c>
      <c r="B47">
        <v>10046</v>
      </c>
      <c r="C47" t="s">
        <v>62</v>
      </c>
      <c r="D47">
        <v>5</v>
      </c>
      <c r="E47" t="s">
        <v>114</v>
      </c>
      <c r="F47" t="s">
        <v>120</v>
      </c>
      <c r="G47" s="1">
        <v>90000</v>
      </c>
      <c r="H47" s="1">
        <f t="shared" si="10"/>
        <v>22500</v>
      </c>
      <c r="I47" s="1">
        <f t="shared" si="11"/>
        <v>9000</v>
      </c>
      <c r="J47" s="1">
        <f t="shared" si="0"/>
        <v>11250</v>
      </c>
      <c r="K47" s="1">
        <f t="shared" si="1"/>
        <v>5130</v>
      </c>
      <c r="L47" s="1">
        <f t="shared" si="2"/>
        <v>2880</v>
      </c>
      <c r="M47" s="1">
        <f t="shared" si="3"/>
        <v>140760</v>
      </c>
      <c r="N47" s="1">
        <f t="shared" si="4"/>
        <v>1759.5</v>
      </c>
      <c r="O47" s="1">
        <f t="shared" si="5"/>
        <v>139000.5</v>
      </c>
      <c r="P47" s="1">
        <f t="shared" si="6"/>
        <v>1668006</v>
      </c>
      <c r="Q47" s="1">
        <f t="shared" si="7"/>
        <v>21114</v>
      </c>
      <c r="R47" s="1">
        <f t="shared" si="8"/>
        <v>250200.9</v>
      </c>
      <c r="S47" s="1">
        <f t="shared" si="9"/>
        <v>1417805.1</v>
      </c>
    </row>
    <row r="48" spans="1:19" x14ac:dyDescent="0.3">
      <c r="A48">
        <v>47</v>
      </c>
      <c r="B48">
        <v>10047</v>
      </c>
      <c r="C48" t="s">
        <v>28</v>
      </c>
      <c r="D48">
        <v>11</v>
      </c>
      <c r="E48" t="s">
        <v>115</v>
      </c>
      <c r="F48" t="s">
        <v>118</v>
      </c>
      <c r="G48" s="1">
        <v>142900</v>
      </c>
      <c r="H48" s="1">
        <f t="shared" si="10"/>
        <v>35725</v>
      </c>
      <c r="I48" s="1">
        <f t="shared" si="11"/>
        <v>14290</v>
      </c>
      <c r="J48" s="1">
        <f t="shared" si="0"/>
        <v>17862.5</v>
      </c>
      <c r="K48" s="1">
        <f t="shared" si="1"/>
        <v>8145.3</v>
      </c>
      <c r="L48" s="1">
        <f t="shared" si="2"/>
        <v>4572.8</v>
      </c>
      <c r="M48" s="1">
        <f t="shared" si="3"/>
        <v>223495.59999999998</v>
      </c>
      <c r="N48" s="1">
        <f t="shared" si="4"/>
        <v>2793.6949999999997</v>
      </c>
      <c r="O48" s="1">
        <f t="shared" si="5"/>
        <v>220701.90499999997</v>
      </c>
      <c r="P48" s="1">
        <f t="shared" si="6"/>
        <v>2648422.8599999994</v>
      </c>
      <c r="Q48" s="1">
        <f t="shared" si="7"/>
        <v>33524.339999999997</v>
      </c>
      <c r="R48" s="1">
        <f t="shared" si="8"/>
        <v>662105.71499999985</v>
      </c>
      <c r="S48" s="1">
        <f t="shared" si="9"/>
        <v>1986317.1449999996</v>
      </c>
    </row>
    <row r="49" spans="1:19" x14ac:dyDescent="0.3">
      <c r="A49">
        <v>48</v>
      </c>
      <c r="B49">
        <v>10048</v>
      </c>
      <c r="C49" t="s">
        <v>63</v>
      </c>
      <c r="D49">
        <v>16</v>
      </c>
      <c r="E49" t="s">
        <v>116</v>
      </c>
      <c r="F49" t="s">
        <v>117</v>
      </c>
      <c r="G49" s="1">
        <v>196263</v>
      </c>
      <c r="H49" s="1">
        <f t="shared" si="10"/>
        <v>49065.75</v>
      </c>
      <c r="I49" s="1">
        <f t="shared" si="11"/>
        <v>19626.3</v>
      </c>
      <c r="J49" s="1">
        <f t="shared" si="0"/>
        <v>24532.875</v>
      </c>
      <c r="K49" s="1">
        <f t="shared" si="1"/>
        <v>11186.991</v>
      </c>
      <c r="L49" s="1">
        <f t="shared" si="2"/>
        <v>6280.4160000000002</v>
      </c>
      <c r="M49" s="1">
        <f t="shared" si="3"/>
        <v>306955.33199999999</v>
      </c>
      <c r="N49" s="1">
        <f t="shared" si="4"/>
        <v>3836.9416500000002</v>
      </c>
      <c r="O49" s="1">
        <f t="shared" si="5"/>
        <v>303118.39035</v>
      </c>
      <c r="P49" s="1">
        <f t="shared" si="6"/>
        <v>3637420.6842</v>
      </c>
      <c r="Q49" s="1">
        <f t="shared" si="7"/>
        <v>46043.299800000001</v>
      </c>
      <c r="R49" s="1">
        <f t="shared" si="8"/>
        <v>909355.17105</v>
      </c>
      <c r="S49" s="1">
        <f t="shared" si="9"/>
        <v>2728065.51315</v>
      </c>
    </row>
    <row r="50" spans="1:19" x14ac:dyDescent="0.3">
      <c r="A50">
        <v>49</v>
      </c>
      <c r="B50">
        <v>10049</v>
      </c>
      <c r="C50" t="s">
        <v>64</v>
      </c>
      <c r="D50">
        <v>6</v>
      </c>
      <c r="E50" t="s">
        <v>114</v>
      </c>
      <c r="F50" t="s">
        <v>117</v>
      </c>
      <c r="G50" s="1">
        <v>95000</v>
      </c>
      <c r="H50" s="1">
        <f t="shared" si="10"/>
        <v>23750</v>
      </c>
      <c r="I50" s="1">
        <f t="shared" si="11"/>
        <v>9500</v>
      </c>
      <c r="J50" s="1">
        <f t="shared" si="0"/>
        <v>11875</v>
      </c>
      <c r="K50" s="1">
        <f t="shared" si="1"/>
        <v>5415</v>
      </c>
      <c r="L50" s="1">
        <f t="shared" si="2"/>
        <v>3040</v>
      </c>
      <c r="M50" s="1">
        <f t="shared" si="3"/>
        <v>148580</v>
      </c>
      <c r="N50" s="1">
        <f t="shared" si="4"/>
        <v>1857.25</v>
      </c>
      <c r="O50" s="1">
        <f t="shared" si="5"/>
        <v>146722.75</v>
      </c>
      <c r="P50" s="1">
        <f t="shared" si="6"/>
        <v>1760673</v>
      </c>
      <c r="Q50" s="1">
        <f t="shared" si="7"/>
        <v>22287</v>
      </c>
      <c r="R50" s="1">
        <f t="shared" si="8"/>
        <v>264100.95</v>
      </c>
      <c r="S50" s="1">
        <f t="shared" si="9"/>
        <v>1496572.05</v>
      </c>
    </row>
    <row r="51" spans="1:19" x14ac:dyDescent="0.3">
      <c r="A51">
        <v>50</v>
      </c>
      <c r="B51">
        <v>10050</v>
      </c>
      <c r="C51" t="s">
        <v>65</v>
      </c>
      <c r="D51">
        <v>12</v>
      </c>
      <c r="E51" t="s">
        <v>115</v>
      </c>
      <c r="F51" t="s">
        <v>118</v>
      </c>
      <c r="G51" s="1">
        <v>152900</v>
      </c>
      <c r="H51" s="1">
        <f t="shared" si="10"/>
        <v>38225</v>
      </c>
      <c r="I51" s="1">
        <f t="shared" si="11"/>
        <v>15290</v>
      </c>
      <c r="J51" s="1">
        <f t="shared" si="0"/>
        <v>19112.5</v>
      </c>
      <c r="K51" s="1">
        <f t="shared" si="1"/>
        <v>8715.3000000000011</v>
      </c>
      <c r="L51" s="1">
        <f t="shared" si="2"/>
        <v>4892.8</v>
      </c>
      <c r="M51" s="1">
        <f t="shared" si="3"/>
        <v>239135.59999999998</v>
      </c>
      <c r="N51" s="1">
        <f t="shared" si="4"/>
        <v>2989.1949999999997</v>
      </c>
      <c r="O51" s="1">
        <f t="shared" si="5"/>
        <v>236146.40499999997</v>
      </c>
      <c r="P51" s="1">
        <f t="shared" si="6"/>
        <v>2833756.8599999994</v>
      </c>
      <c r="Q51" s="1">
        <f t="shared" si="7"/>
        <v>35870.339999999997</v>
      </c>
      <c r="R51" s="1">
        <f t="shared" si="8"/>
        <v>708439.21499999985</v>
      </c>
      <c r="S51" s="1">
        <f t="shared" si="9"/>
        <v>2125317.6449999996</v>
      </c>
    </row>
    <row r="52" spans="1:19" x14ac:dyDescent="0.3">
      <c r="A52">
        <v>51</v>
      </c>
      <c r="B52">
        <v>10051</v>
      </c>
      <c r="C52" t="s">
        <v>66</v>
      </c>
      <c r="D52">
        <v>17</v>
      </c>
      <c r="E52" t="s">
        <v>116</v>
      </c>
      <c r="F52" t="s">
        <v>119</v>
      </c>
      <c r="G52" s="1">
        <v>211263</v>
      </c>
      <c r="H52" s="1">
        <f t="shared" si="10"/>
        <v>52815.75</v>
      </c>
      <c r="I52" s="1">
        <f t="shared" si="11"/>
        <v>21126.300000000003</v>
      </c>
      <c r="J52" s="1">
        <f t="shared" si="0"/>
        <v>26407.875</v>
      </c>
      <c r="K52" s="1">
        <f t="shared" si="1"/>
        <v>12041.991</v>
      </c>
      <c r="L52" s="1">
        <f t="shared" si="2"/>
        <v>6760.4160000000002</v>
      </c>
      <c r="M52" s="1">
        <f t="shared" si="3"/>
        <v>330415.33199999999</v>
      </c>
      <c r="N52" s="1">
        <f t="shared" si="4"/>
        <v>4130.1916499999998</v>
      </c>
      <c r="O52" s="1">
        <f t="shared" si="5"/>
        <v>326285.14035</v>
      </c>
      <c r="P52" s="1">
        <f t="shared" si="6"/>
        <v>3915421.6842</v>
      </c>
      <c r="Q52" s="1">
        <f t="shared" si="7"/>
        <v>49562.299799999993</v>
      </c>
      <c r="R52" s="1">
        <f t="shared" si="8"/>
        <v>978855.42105</v>
      </c>
      <c r="S52" s="1">
        <f t="shared" si="9"/>
        <v>2936566.26315</v>
      </c>
    </row>
    <row r="53" spans="1:19" x14ac:dyDescent="0.3">
      <c r="A53">
        <v>52</v>
      </c>
      <c r="B53">
        <v>10052</v>
      </c>
      <c r="C53" t="s">
        <v>67</v>
      </c>
      <c r="D53">
        <v>1</v>
      </c>
      <c r="E53" t="s">
        <v>114</v>
      </c>
      <c r="F53" t="s">
        <v>120</v>
      </c>
      <c r="G53" s="1">
        <v>70000</v>
      </c>
      <c r="H53" s="1">
        <f t="shared" si="10"/>
        <v>17500</v>
      </c>
      <c r="I53" s="1">
        <f t="shared" si="11"/>
        <v>7000</v>
      </c>
      <c r="J53" s="1">
        <f t="shared" si="0"/>
        <v>8750</v>
      </c>
      <c r="K53" s="1">
        <f t="shared" si="1"/>
        <v>3990</v>
      </c>
      <c r="L53" s="1">
        <f t="shared" si="2"/>
        <v>2240</v>
      </c>
      <c r="M53" s="1">
        <f t="shared" si="3"/>
        <v>109480</v>
      </c>
      <c r="N53" s="1">
        <f t="shared" si="4"/>
        <v>1368.5</v>
      </c>
      <c r="O53" s="1">
        <f t="shared" si="5"/>
        <v>108111.5</v>
      </c>
      <c r="P53" s="1">
        <f t="shared" si="6"/>
        <v>1297338</v>
      </c>
      <c r="Q53" s="1">
        <f t="shared" si="7"/>
        <v>16422</v>
      </c>
      <c r="R53" s="1">
        <f t="shared" si="8"/>
        <v>194600.69999999998</v>
      </c>
      <c r="S53" s="1">
        <f t="shared" si="9"/>
        <v>1102737.3</v>
      </c>
    </row>
    <row r="54" spans="1:19" x14ac:dyDescent="0.3">
      <c r="A54">
        <v>53</v>
      </c>
      <c r="B54">
        <v>10053</v>
      </c>
      <c r="C54" t="s">
        <v>29</v>
      </c>
      <c r="D54">
        <v>7</v>
      </c>
      <c r="E54" t="s">
        <v>115</v>
      </c>
      <c r="F54" t="s">
        <v>117</v>
      </c>
      <c r="G54" s="1">
        <v>102900</v>
      </c>
      <c r="H54" s="1">
        <f t="shared" si="10"/>
        <v>25725</v>
      </c>
      <c r="I54" s="1">
        <f t="shared" si="11"/>
        <v>10290</v>
      </c>
      <c r="J54" s="1">
        <f t="shared" si="0"/>
        <v>12862.5</v>
      </c>
      <c r="K54" s="1">
        <f t="shared" si="1"/>
        <v>5865.3</v>
      </c>
      <c r="L54" s="1">
        <f t="shared" si="2"/>
        <v>3292.8</v>
      </c>
      <c r="M54" s="1">
        <f t="shared" si="3"/>
        <v>160935.59999999998</v>
      </c>
      <c r="N54" s="1">
        <f t="shared" si="4"/>
        <v>2011.6949999999997</v>
      </c>
      <c r="O54" s="1">
        <f t="shared" si="5"/>
        <v>158923.90499999997</v>
      </c>
      <c r="P54" s="1">
        <f t="shared" si="6"/>
        <v>1907086.8599999996</v>
      </c>
      <c r="Q54" s="1">
        <f t="shared" si="7"/>
        <v>24140.339999999997</v>
      </c>
      <c r="R54" s="1">
        <f t="shared" si="8"/>
        <v>286063.02899999992</v>
      </c>
      <c r="S54" s="1">
        <f t="shared" si="9"/>
        <v>1621023.8309999998</v>
      </c>
    </row>
    <row r="55" spans="1:19" x14ac:dyDescent="0.3">
      <c r="A55">
        <v>54</v>
      </c>
      <c r="B55">
        <v>10054</v>
      </c>
      <c r="C55" t="s">
        <v>68</v>
      </c>
      <c r="D55">
        <v>13</v>
      </c>
      <c r="E55" t="s">
        <v>116</v>
      </c>
      <c r="F55" t="s">
        <v>118</v>
      </c>
      <c r="G55" s="1">
        <v>151263</v>
      </c>
      <c r="H55" s="1">
        <f t="shared" si="10"/>
        <v>37815.75</v>
      </c>
      <c r="I55" s="1">
        <f t="shared" si="11"/>
        <v>15126.300000000001</v>
      </c>
      <c r="J55" s="1">
        <f t="shared" si="0"/>
        <v>18907.875</v>
      </c>
      <c r="K55" s="1">
        <f t="shared" si="1"/>
        <v>8621.991</v>
      </c>
      <c r="L55" s="1">
        <f t="shared" si="2"/>
        <v>4840.4160000000002</v>
      </c>
      <c r="M55" s="1">
        <f t="shared" si="3"/>
        <v>236575.33199999999</v>
      </c>
      <c r="N55" s="1">
        <f t="shared" si="4"/>
        <v>2957.1916500000002</v>
      </c>
      <c r="O55" s="1">
        <f t="shared" si="5"/>
        <v>233618.14035</v>
      </c>
      <c r="P55" s="1">
        <f t="shared" si="6"/>
        <v>2803417.6842</v>
      </c>
      <c r="Q55" s="1">
        <f t="shared" si="7"/>
        <v>35486.299800000001</v>
      </c>
      <c r="R55" s="1">
        <f t="shared" si="8"/>
        <v>700854.42105</v>
      </c>
      <c r="S55" s="1">
        <f t="shared" si="9"/>
        <v>2102563.26315</v>
      </c>
    </row>
    <row r="56" spans="1:19" x14ac:dyDescent="0.3">
      <c r="A56">
        <v>55</v>
      </c>
      <c r="B56">
        <v>10055</v>
      </c>
      <c r="C56" t="s">
        <v>69</v>
      </c>
      <c r="D56">
        <v>2</v>
      </c>
      <c r="E56" t="s">
        <v>114</v>
      </c>
      <c r="F56" t="s">
        <v>120</v>
      </c>
      <c r="G56" s="1">
        <v>75000</v>
      </c>
      <c r="H56" s="1">
        <f t="shared" si="10"/>
        <v>18750</v>
      </c>
      <c r="I56" s="1">
        <f t="shared" si="11"/>
        <v>7500</v>
      </c>
      <c r="J56" s="1">
        <f t="shared" si="0"/>
        <v>9375</v>
      </c>
      <c r="K56" s="1">
        <f t="shared" si="1"/>
        <v>4275</v>
      </c>
      <c r="L56" s="1">
        <f t="shared" si="2"/>
        <v>2400</v>
      </c>
      <c r="M56" s="1">
        <f t="shared" si="3"/>
        <v>117300</v>
      </c>
      <c r="N56" s="1">
        <f t="shared" si="4"/>
        <v>1466.25</v>
      </c>
      <c r="O56" s="1">
        <f t="shared" si="5"/>
        <v>115833.75</v>
      </c>
      <c r="P56" s="1">
        <f t="shared" si="6"/>
        <v>1390005</v>
      </c>
      <c r="Q56" s="1">
        <f t="shared" si="7"/>
        <v>17595</v>
      </c>
      <c r="R56" s="1">
        <f t="shared" si="8"/>
        <v>208500.75</v>
      </c>
      <c r="S56" s="1">
        <f t="shared" si="9"/>
        <v>1181504.25</v>
      </c>
    </row>
    <row r="57" spans="1:19" x14ac:dyDescent="0.3">
      <c r="A57">
        <v>56</v>
      </c>
      <c r="B57">
        <v>10056</v>
      </c>
      <c r="C57" t="s">
        <v>70</v>
      </c>
      <c r="D57">
        <v>8</v>
      </c>
      <c r="E57" t="s">
        <v>115</v>
      </c>
      <c r="F57" t="s">
        <v>117</v>
      </c>
      <c r="G57" s="1">
        <v>112900</v>
      </c>
      <c r="H57" s="1">
        <f t="shared" si="10"/>
        <v>28225</v>
      </c>
      <c r="I57" s="1">
        <f t="shared" si="11"/>
        <v>11290</v>
      </c>
      <c r="J57" s="1">
        <f t="shared" si="0"/>
        <v>14112.5</v>
      </c>
      <c r="K57" s="1">
        <f t="shared" si="1"/>
        <v>6435.3</v>
      </c>
      <c r="L57" s="1">
        <f t="shared" si="2"/>
        <v>3612.8</v>
      </c>
      <c r="M57" s="1">
        <f t="shared" si="3"/>
        <v>176575.59999999998</v>
      </c>
      <c r="N57" s="1">
        <f t="shared" si="4"/>
        <v>2207.1949999999997</v>
      </c>
      <c r="O57" s="1">
        <f t="shared" si="5"/>
        <v>174368.40499999997</v>
      </c>
      <c r="P57" s="1">
        <f t="shared" si="6"/>
        <v>2092420.8599999996</v>
      </c>
      <c r="Q57" s="1">
        <f t="shared" si="7"/>
        <v>26486.339999999997</v>
      </c>
      <c r="R57" s="1">
        <f t="shared" si="8"/>
        <v>313863.12899999996</v>
      </c>
      <c r="S57" s="1">
        <f t="shared" si="9"/>
        <v>1778557.7309999997</v>
      </c>
    </row>
    <row r="58" spans="1:19" x14ac:dyDescent="0.3">
      <c r="A58">
        <v>57</v>
      </c>
      <c r="B58">
        <v>10057</v>
      </c>
      <c r="C58" t="s">
        <v>71</v>
      </c>
      <c r="D58">
        <v>14</v>
      </c>
      <c r="E58" t="s">
        <v>116</v>
      </c>
      <c r="F58" t="s">
        <v>118</v>
      </c>
      <c r="G58" s="1">
        <v>166263</v>
      </c>
      <c r="H58" s="1">
        <f t="shared" si="10"/>
        <v>41565.75</v>
      </c>
      <c r="I58" s="1">
        <f t="shared" si="11"/>
        <v>16626.3</v>
      </c>
      <c r="J58" s="1">
        <f t="shared" si="0"/>
        <v>20782.875</v>
      </c>
      <c r="K58" s="1">
        <f t="shared" si="1"/>
        <v>9476.991</v>
      </c>
      <c r="L58" s="1">
        <f t="shared" si="2"/>
        <v>5320.4160000000002</v>
      </c>
      <c r="M58" s="1">
        <f t="shared" si="3"/>
        <v>260035.33199999999</v>
      </c>
      <c r="N58" s="1">
        <f t="shared" si="4"/>
        <v>3250.4416500000002</v>
      </c>
      <c r="O58" s="1">
        <f t="shared" si="5"/>
        <v>256784.89035</v>
      </c>
      <c r="P58" s="1">
        <f t="shared" si="6"/>
        <v>3081418.6842</v>
      </c>
      <c r="Q58" s="1">
        <f t="shared" si="7"/>
        <v>39005.299800000001</v>
      </c>
      <c r="R58" s="1">
        <f t="shared" si="8"/>
        <v>770354.67105</v>
      </c>
      <c r="S58" s="1">
        <f t="shared" si="9"/>
        <v>2311064.01315</v>
      </c>
    </row>
    <row r="59" spans="1:19" x14ac:dyDescent="0.3">
      <c r="A59">
        <v>58</v>
      </c>
      <c r="B59">
        <v>10058</v>
      </c>
      <c r="C59" t="s">
        <v>72</v>
      </c>
      <c r="D59">
        <v>3</v>
      </c>
      <c r="E59" t="s">
        <v>114</v>
      </c>
      <c r="F59" t="s">
        <v>120</v>
      </c>
      <c r="G59" s="1">
        <v>80000</v>
      </c>
      <c r="H59" s="1">
        <f t="shared" si="10"/>
        <v>20000</v>
      </c>
      <c r="I59" s="1">
        <f t="shared" si="11"/>
        <v>8000</v>
      </c>
      <c r="J59" s="1">
        <f t="shared" si="0"/>
        <v>10000</v>
      </c>
      <c r="K59" s="1">
        <f t="shared" si="1"/>
        <v>4560</v>
      </c>
      <c r="L59" s="1">
        <f t="shared" si="2"/>
        <v>2560</v>
      </c>
      <c r="M59" s="1">
        <f t="shared" si="3"/>
        <v>125120</v>
      </c>
      <c r="N59" s="1">
        <f t="shared" si="4"/>
        <v>1564</v>
      </c>
      <c r="O59" s="1">
        <f t="shared" si="5"/>
        <v>123556</v>
      </c>
      <c r="P59" s="1">
        <f t="shared" si="6"/>
        <v>1482672</v>
      </c>
      <c r="Q59" s="1">
        <f t="shared" si="7"/>
        <v>18768</v>
      </c>
      <c r="R59" s="1">
        <f t="shared" si="8"/>
        <v>222400.8</v>
      </c>
      <c r="S59" s="1">
        <f t="shared" si="9"/>
        <v>1260271.2</v>
      </c>
    </row>
    <row r="60" spans="1:19" x14ac:dyDescent="0.3">
      <c r="A60">
        <v>59</v>
      </c>
      <c r="B60">
        <v>10059</v>
      </c>
      <c r="C60" t="s">
        <v>73</v>
      </c>
      <c r="D60">
        <v>9</v>
      </c>
      <c r="E60" t="s">
        <v>115</v>
      </c>
      <c r="F60" t="s">
        <v>118</v>
      </c>
      <c r="G60" s="1">
        <v>122900</v>
      </c>
      <c r="H60" s="1">
        <f t="shared" si="10"/>
        <v>30725</v>
      </c>
      <c r="I60" s="1">
        <f t="shared" si="11"/>
        <v>12290</v>
      </c>
      <c r="J60" s="1">
        <f t="shared" si="0"/>
        <v>15362.5</v>
      </c>
      <c r="K60" s="1">
        <f t="shared" si="1"/>
        <v>7005.3</v>
      </c>
      <c r="L60" s="1">
        <f t="shared" si="2"/>
        <v>3932.8</v>
      </c>
      <c r="M60" s="1">
        <f t="shared" si="3"/>
        <v>192215.59999999998</v>
      </c>
      <c r="N60" s="1">
        <f t="shared" si="4"/>
        <v>2402.6949999999997</v>
      </c>
      <c r="O60" s="1">
        <f t="shared" si="5"/>
        <v>189812.90499999997</v>
      </c>
      <c r="P60" s="1">
        <f t="shared" si="6"/>
        <v>2277754.8599999994</v>
      </c>
      <c r="Q60" s="1">
        <f t="shared" si="7"/>
        <v>28832.339999999997</v>
      </c>
      <c r="R60" s="1">
        <f t="shared" si="8"/>
        <v>341663.22899999988</v>
      </c>
      <c r="S60" s="1">
        <f t="shared" si="9"/>
        <v>1936091.6309999996</v>
      </c>
    </row>
    <row r="61" spans="1:19" x14ac:dyDescent="0.3">
      <c r="A61">
        <v>60</v>
      </c>
      <c r="B61">
        <v>10060</v>
      </c>
      <c r="C61" t="s">
        <v>74</v>
      </c>
      <c r="D61">
        <v>15</v>
      </c>
      <c r="E61" t="s">
        <v>116</v>
      </c>
      <c r="F61" t="s">
        <v>117</v>
      </c>
      <c r="G61" s="1">
        <v>181263</v>
      </c>
      <c r="H61" s="1">
        <f t="shared" si="10"/>
        <v>45315.75</v>
      </c>
      <c r="I61" s="1">
        <f t="shared" si="11"/>
        <v>18126.3</v>
      </c>
      <c r="J61" s="1">
        <f t="shared" si="0"/>
        <v>22657.875</v>
      </c>
      <c r="K61" s="1">
        <f t="shared" si="1"/>
        <v>10331.991</v>
      </c>
      <c r="L61" s="1">
        <f t="shared" si="2"/>
        <v>5800.4160000000002</v>
      </c>
      <c r="M61" s="1">
        <f t="shared" si="3"/>
        <v>283495.33199999999</v>
      </c>
      <c r="N61" s="1">
        <f t="shared" si="4"/>
        <v>3543.6916500000002</v>
      </c>
      <c r="O61" s="1">
        <f t="shared" si="5"/>
        <v>279951.64035</v>
      </c>
      <c r="P61" s="1">
        <f t="shared" si="6"/>
        <v>3359419.6842</v>
      </c>
      <c r="Q61" s="1">
        <f t="shared" si="7"/>
        <v>42524.299800000001</v>
      </c>
      <c r="R61" s="1">
        <f t="shared" si="8"/>
        <v>839854.92105</v>
      </c>
      <c r="S61" s="1">
        <f t="shared" si="9"/>
        <v>2519564.76315</v>
      </c>
    </row>
    <row r="62" spans="1:19" x14ac:dyDescent="0.3">
      <c r="A62">
        <v>61</v>
      </c>
      <c r="B62">
        <v>10061</v>
      </c>
      <c r="C62" t="s">
        <v>75</v>
      </c>
      <c r="D62">
        <v>4</v>
      </c>
      <c r="E62" t="s">
        <v>114</v>
      </c>
      <c r="F62" t="s">
        <v>117</v>
      </c>
      <c r="G62" s="1">
        <v>85000</v>
      </c>
      <c r="H62" s="1">
        <f t="shared" si="10"/>
        <v>21250</v>
      </c>
      <c r="I62" s="1">
        <f t="shared" si="11"/>
        <v>8500</v>
      </c>
      <c r="J62" s="1">
        <f t="shared" si="0"/>
        <v>10625</v>
      </c>
      <c r="K62" s="1">
        <f t="shared" si="1"/>
        <v>4845</v>
      </c>
      <c r="L62" s="1">
        <f t="shared" si="2"/>
        <v>2720</v>
      </c>
      <c r="M62" s="1">
        <f t="shared" si="3"/>
        <v>132940</v>
      </c>
      <c r="N62" s="1">
        <f t="shared" si="4"/>
        <v>1661.75</v>
      </c>
      <c r="O62" s="1">
        <f t="shared" si="5"/>
        <v>131278.25</v>
      </c>
      <c r="P62" s="1">
        <f t="shared" si="6"/>
        <v>1575339</v>
      </c>
      <c r="Q62" s="1">
        <f t="shared" si="7"/>
        <v>19941</v>
      </c>
      <c r="R62" s="1">
        <f t="shared" si="8"/>
        <v>236300.84999999998</v>
      </c>
      <c r="S62" s="1">
        <f t="shared" si="9"/>
        <v>1339038.1499999999</v>
      </c>
    </row>
    <row r="63" spans="1:19" x14ac:dyDescent="0.3">
      <c r="A63">
        <v>62</v>
      </c>
      <c r="B63">
        <v>10062</v>
      </c>
      <c r="C63" t="s">
        <v>76</v>
      </c>
      <c r="D63">
        <v>10</v>
      </c>
      <c r="E63" t="s">
        <v>115</v>
      </c>
      <c r="F63" t="s">
        <v>118</v>
      </c>
      <c r="G63" s="1">
        <v>132900</v>
      </c>
      <c r="H63" s="1">
        <f t="shared" si="10"/>
        <v>33225</v>
      </c>
      <c r="I63" s="1">
        <f t="shared" si="11"/>
        <v>13290</v>
      </c>
      <c r="J63" s="1">
        <f t="shared" si="0"/>
        <v>16612.5</v>
      </c>
      <c r="K63" s="1">
        <f t="shared" si="1"/>
        <v>7575.3</v>
      </c>
      <c r="L63" s="1">
        <f t="shared" si="2"/>
        <v>4252.8</v>
      </c>
      <c r="M63" s="1">
        <f t="shared" si="3"/>
        <v>207855.59999999998</v>
      </c>
      <c r="N63" s="1">
        <f t="shared" si="4"/>
        <v>2598.1949999999997</v>
      </c>
      <c r="O63" s="1">
        <f t="shared" si="5"/>
        <v>205257.40499999997</v>
      </c>
      <c r="P63" s="1">
        <f t="shared" si="6"/>
        <v>2463088.8599999994</v>
      </c>
      <c r="Q63" s="1">
        <f t="shared" si="7"/>
        <v>31178.339999999997</v>
      </c>
      <c r="R63" s="1">
        <f t="shared" si="8"/>
        <v>369463.32899999991</v>
      </c>
      <c r="S63" s="1">
        <f t="shared" si="9"/>
        <v>2093625.5309999995</v>
      </c>
    </row>
    <row r="64" spans="1:19" x14ac:dyDescent="0.3">
      <c r="A64">
        <v>63</v>
      </c>
      <c r="B64">
        <v>10063</v>
      </c>
      <c r="C64" t="s">
        <v>38</v>
      </c>
      <c r="D64">
        <v>16</v>
      </c>
      <c r="E64" t="s">
        <v>116</v>
      </c>
      <c r="F64" t="s">
        <v>119</v>
      </c>
      <c r="G64" s="1">
        <v>196263</v>
      </c>
      <c r="H64" s="1">
        <f t="shared" si="10"/>
        <v>49065.75</v>
      </c>
      <c r="I64" s="1">
        <f t="shared" si="11"/>
        <v>19626.3</v>
      </c>
      <c r="J64" s="1">
        <f t="shared" si="0"/>
        <v>24532.875</v>
      </c>
      <c r="K64" s="1">
        <f t="shared" si="1"/>
        <v>11186.991</v>
      </c>
      <c r="L64" s="1">
        <f t="shared" si="2"/>
        <v>6280.4160000000002</v>
      </c>
      <c r="M64" s="1">
        <f t="shared" si="3"/>
        <v>306955.33199999999</v>
      </c>
      <c r="N64" s="1">
        <f t="shared" si="4"/>
        <v>3836.9416500000002</v>
      </c>
      <c r="O64" s="1">
        <f t="shared" si="5"/>
        <v>303118.39035</v>
      </c>
      <c r="P64" s="1">
        <f t="shared" si="6"/>
        <v>3637420.6842</v>
      </c>
      <c r="Q64" s="1">
        <f t="shared" si="7"/>
        <v>46043.299800000001</v>
      </c>
      <c r="R64" s="1">
        <f t="shared" si="8"/>
        <v>909355.17105</v>
      </c>
      <c r="S64" s="1">
        <f t="shared" si="9"/>
        <v>2728065.51315</v>
      </c>
    </row>
    <row r="65" spans="1:19" x14ac:dyDescent="0.3">
      <c r="A65">
        <v>64</v>
      </c>
      <c r="B65">
        <v>10064</v>
      </c>
      <c r="C65" t="s">
        <v>77</v>
      </c>
      <c r="D65">
        <v>5</v>
      </c>
      <c r="E65" t="s">
        <v>114</v>
      </c>
      <c r="F65" t="s">
        <v>120</v>
      </c>
      <c r="G65" s="1">
        <v>90000</v>
      </c>
      <c r="H65" s="1">
        <f t="shared" si="10"/>
        <v>22500</v>
      </c>
      <c r="I65" s="1">
        <f t="shared" si="11"/>
        <v>9000</v>
      </c>
      <c r="J65" s="1">
        <f t="shared" si="0"/>
        <v>11250</v>
      </c>
      <c r="K65" s="1">
        <f t="shared" si="1"/>
        <v>5130</v>
      </c>
      <c r="L65" s="1">
        <f t="shared" si="2"/>
        <v>2880</v>
      </c>
      <c r="M65" s="1">
        <f t="shared" si="3"/>
        <v>140760</v>
      </c>
      <c r="N65" s="1">
        <f t="shared" si="4"/>
        <v>1759.5</v>
      </c>
      <c r="O65" s="1">
        <f t="shared" si="5"/>
        <v>139000.5</v>
      </c>
      <c r="P65" s="1">
        <f t="shared" si="6"/>
        <v>1668006</v>
      </c>
      <c r="Q65" s="1">
        <f t="shared" si="7"/>
        <v>21114</v>
      </c>
      <c r="R65" s="1">
        <f t="shared" si="8"/>
        <v>250200.9</v>
      </c>
      <c r="S65" s="1">
        <f t="shared" si="9"/>
        <v>1417805.1</v>
      </c>
    </row>
    <row r="66" spans="1:19" x14ac:dyDescent="0.3">
      <c r="A66">
        <v>65</v>
      </c>
      <c r="B66">
        <v>10065</v>
      </c>
      <c r="C66" t="s">
        <v>78</v>
      </c>
      <c r="D66">
        <v>11</v>
      </c>
      <c r="E66" t="s">
        <v>115</v>
      </c>
      <c r="F66" t="s">
        <v>117</v>
      </c>
      <c r="G66" s="1">
        <v>142900</v>
      </c>
      <c r="H66" s="1">
        <f t="shared" si="10"/>
        <v>35725</v>
      </c>
      <c r="I66" s="1">
        <f t="shared" si="11"/>
        <v>14290</v>
      </c>
      <c r="J66" s="1">
        <f t="shared" si="0"/>
        <v>17862.5</v>
      </c>
      <c r="K66" s="1">
        <f t="shared" si="1"/>
        <v>8145.3</v>
      </c>
      <c r="L66" s="1">
        <f t="shared" si="2"/>
        <v>4572.8</v>
      </c>
      <c r="M66" s="1">
        <f t="shared" si="3"/>
        <v>223495.59999999998</v>
      </c>
      <c r="N66" s="1">
        <f t="shared" si="4"/>
        <v>2793.6949999999997</v>
      </c>
      <c r="O66" s="1">
        <f t="shared" si="5"/>
        <v>220701.90499999997</v>
      </c>
      <c r="P66" s="1">
        <f t="shared" si="6"/>
        <v>2648422.8599999994</v>
      </c>
      <c r="Q66" s="1">
        <f t="shared" si="7"/>
        <v>33524.339999999997</v>
      </c>
      <c r="R66" s="1">
        <f t="shared" si="8"/>
        <v>662105.71499999985</v>
      </c>
      <c r="S66" s="1">
        <f t="shared" si="9"/>
        <v>1986317.1449999996</v>
      </c>
    </row>
    <row r="67" spans="1:19" x14ac:dyDescent="0.3">
      <c r="A67">
        <v>66</v>
      </c>
      <c r="B67">
        <v>10066</v>
      </c>
      <c r="C67" t="s">
        <v>79</v>
      </c>
      <c r="D67">
        <v>17</v>
      </c>
      <c r="E67" t="s">
        <v>116</v>
      </c>
      <c r="F67" t="s">
        <v>118</v>
      </c>
      <c r="G67" s="1">
        <v>211263</v>
      </c>
      <c r="H67" s="1">
        <f t="shared" ref="H67:H99" si="12">IF(E67="SENIOR",G67*25%,IF(E67="JUNIOR",G67*25%,IF(E67="CLERK",G67*25%,"Value Not Match")))</f>
        <v>52815.75</v>
      </c>
      <c r="I67" s="1">
        <f t="shared" ref="I67:I100" si="13">IF(E67="SENIOR",G67*10%,IF(E67="JUNIOR",G67*10%,IF(E67="CLERK",G67*10%,"Value Not Match")))</f>
        <v>21126.300000000003</v>
      </c>
      <c r="J67" s="1">
        <f t="shared" ref="J67:J100" si="14">IF(E67="SENIOR",G67*12.5%,IF(E67="JUNIOR",G67*12.5%,IF(E67="CLERK",G67*12.5%,"Value Not Match")))</f>
        <v>26407.875</v>
      </c>
      <c r="K67" s="1">
        <f t="shared" ref="K67:K100" si="15">IF(E67="SENIOR",G67*5.7%,IF(E67="JUNIOR",G67*5.7%,IF(E67="CLERK",G67*5.7%,"Value Not Match")))</f>
        <v>12041.991</v>
      </c>
      <c r="L67" s="1">
        <f t="shared" ref="L67:L100" si="16">IF(E67="SENIOR",G67*3.2%,IF(E67="JUNIOR",G67*3.2%,IF(E67="CLERK",G67*3.2%,"Value Not Match")))</f>
        <v>6760.4160000000002</v>
      </c>
      <c r="M67" s="1">
        <f t="shared" ref="M67:M100" si="17">SUM(G67:L67)</f>
        <v>330415.33199999999</v>
      </c>
      <c r="N67" s="1">
        <f t="shared" ref="N67:N100" si="18">M67*1.25%</f>
        <v>4130.1916499999998</v>
      </c>
      <c r="O67" s="1">
        <f t="shared" ref="O67:O100" si="19">M67-N67</f>
        <v>326285.14035</v>
      </c>
      <c r="P67" s="1">
        <f t="shared" ref="P67:P100" si="20">O67*12</f>
        <v>3915421.6842</v>
      </c>
      <c r="Q67" s="1">
        <f t="shared" ref="Q67:Q100" si="21">N67*12</f>
        <v>49562.299799999993</v>
      </c>
      <c r="R67" s="1">
        <f t="shared" ref="R67:R100" si="22">IF(P67&gt;=2500000,P67*25%,IF(P67&gt;=801000,P67*15%,IF(P67&lt;=800000,"Exempted")))</f>
        <v>978855.42105</v>
      </c>
      <c r="S67" s="1">
        <f t="shared" ref="S67:S100" si="23">P67-R67</f>
        <v>2936566.26315</v>
      </c>
    </row>
    <row r="68" spans="1:19" x14ac:dyDescent="0.3">
      <c r="A68">
        <v>67</v>
      </c>
      <c r="B68">
        <v>10067</v>
      </c>
      <c r="C68" t="s">
        <v>80</v>
      </c>
      <c r="D68">
        <v>6</v>
      </c>
      <c r="E68" t="s">
        <v>114</v>
      </c>
      <c r="F68" t="s">
        <v>120</v>
      </c>
      <c r="G68" s="1">
        <v>95000</v>
      </c>
      <c r="H68" s="1">
        <f t="shared" si="12"/>
        <v>23750</v>
      </c>
      <c r="I68" s="1">
        <f t="shared" si="13"/>
        <v>9500</v>
      </c>
      <c r="J68" s="1">
        <f t="shared" si="14"/>
        <v>11875</v>
      </c>
      <c r="K68" s="1">
        <f t="shared" si="15"/>
        <v>5415</v>
      </c>
      <c r="L68" s="1">
        <f t="shared" si="16"/>
        <v>3040</v>
      </c>
      <c r="M68" s="1">
        <f t="shared" si="17"/>
        <v>148580</v>
      </c>
      <c r="N68" s="1">
        <f t="shared" si="18"/>
        <v>1857.25</v>
      </c>
      <c r="O68" s="1">
        <f t="shared" si="19"/>
        <v>146722.75</v>
      </c>
      <c r="P68" s="1">
        <f t="shared" si="20"/>
        <v>1760673</v>
      </c>
      <c r="Q68" s="1">
        <f t="shared" si="21"/>
        <v>22287</v>
      </c>
      <c r="R68" s="1">
        <f t="shared" si="22"/>
        <v>264100.95</v>
      </c>
      <c r="S68" s="1">
        <f t="shared" si="23"/>
        <v>1496572.05</v>
      </c>
    </row>
    <row r="69" spans="1:19" x14ac:dyDescent="0.3">
      <c r="A69">
        <v>68</v>
      </c>
      <c r="B69">
        <v>10068</v>
      </c>
      <c r="C69" t="s">
        <v>81</v>
      </c>
      <c r="D69">
        <v>12</v>
      </c>
      <c r="E69" t="s">
        <v>115</v>
      </c>
      <c r="F69" t="s">
        <v>117</v>
      </c>
      <c r="G69" s="1">
        <v>152900</v>
      </c>
      <c r="H69" s="1">
        <f t="shared" si="12"/>
        <v>38225</v>
      </c>
      <c r="I69" s="1">
        <f t="shared" si="13"/>
        <v>15290</v>
      </c>
      <c r="J69" s="1">
        <f t="shared" si="14"/>
        <v>19112.5</v>
      </c>
      <c r="K69" s="1">
        <f t="shared" si="15"/>
        <v>8715.3000000000011</v>
      </c>
      <c r="L69" s="1">
        <f t="shared" si="16"/>
        <v>4892.8</v>
      </c>
      <c r="M69" s="1">
        <f t="shared" si="17"/>
        <v>239135.59999999998</v>
      </c>
      <c r="N69" s="1">
        <f t="shared" si="18"/>
        <v>2989.1949999999997</v>
      </c>
      <c r="O69" s="1">
        <f t="shared" si="19"/>
        <v>236146.40499999997</v>
      </c>
      <c r="P69" s="1">
        <f t="shared" si="20"/>
        <v>2833756.8599999994</v>
      </c>
      <c r="Q69" s="1">
        <f t="shared" si="21"/>
        <v>35870.339999999997</v>
      </c>
      <c r="R69" s="1">
        <f t="shared" si="22"/>
        <v>708439.21499999985</v>
      </c>
      <c r="S69" s="1">
        <f t="shared" si="23"/>
        <v>2125317.6449999996</v>
      </c>
    </row>
    <row r="70" spans="1:19" x14ac:dyDescent="0.3">
      <c r="A70">
        <v>69</v>
      </c>
      <c r="B70">
        <v>10069</v>
      </c>
      <c r="C70" t="s">
        <v>82</v>
      </c>
      <c r="D70">
        <v>1</v>
      </c>
      <c r="E70" t="s">
        <v>114</v>
      </c>
      <c r="F70" t="s">
        <v>118</v>
      </c>
      <c r="G70" s="1">
        <v>70000</v>
      </c>
      <c r="H70" s="1">
        <f t="shared" si="12"/>
        <v>17500</v>
      </c>
      <c r="I70" s="1">
        <f t="shared" si="13"/>
        <v>7000</v>
      </c>
      <c r="J70" s="1">
        <f t="shared" si="14"/>
        <v>8750</v>
      </c>
      <c r="K70" s="1">
        <f t="shared" si="15"/>
        <v>3990</v>
      </c>
      <c r="L70" s="1">
        <f t="shared" si="16"/>
        <v>2240</v>
      </c>
      <c r="M70" s="1">
        <f t="shared" si="17"/>
        <v>109480</v>
      </c>
      <c r="N70" s="1">
        <f t="shared" si="18"/>
        <v>1368.5</v>
      </c>
      <c r="O70" s="1">
        <f t="shared" si="19"/>
        <v>108111.5</v>
      </c>
      <c r="P70" s="1">
        <f t="shared" si="20"/>
        <v>1297338</v>
      </c>
      <c r="Q70" s="1">
        <f t="shared" si="21"/>
        <v>16422</v>
      </c>
      <c r="R70" s="1">
        <f t="shared" si="22"/>
        <v>194600.69999999998</v>
      </c>
      <c r="S70" s="1">
        <f t="shared" si="23"/>
        <v>1102737.3</v>
      </c>
    </row>
    <row r="71" spans="1:19" x14ac:dyDescent="0.3">
      <c r="A71">
        <v>70</v>
      </c>
      <c r="B71">
        <v>10070</v>
      </c>
      <c r="C71" t="s">
        <v>83</v>
      </c>
      <c r="D71">
        <v>7</v>
      </c>
      <c r="E71" t="s">
        <v>115</v>
      </c>
      <c r="F71" t="s">
        <v>120</v>
      </c>
      <c r="G71" s="1">
        <v>102900</v>
      </c>
      <c r="H71" s="1">
        <f t="shared" si="12"/>
        <v>25725</v>
      </c>
      <c r="I71" s="1">
        <f t="shared" si="13"/>
        <v>10290</v>
      </c>
      <c r="J71" s="1">
        <f t="shared" si="14"/>
        <v>12862.5</v>
      </c>
      <c r="K71" s="1">
        <f t="shared" si="15"/>
        <v>5865.3</v>
      </c>
      <c r="L71" s="1">
        <f t="shared" si="16"/>
        <v>3292.8</v>
      </c>
      <c r="M71" s="1">
        <f t="shared" si="17"/>
        <v>160935.59999999998</v>
      </c>
      <c r="N71" s="1">
        <f t="shared" si="18"/>
        <v>2011.6949999999997</v>
      </c>
      <c r="O71" s="1">
        <f t="shared" si="19"/>
        <v>158923.90499999997</v>
      </c>
      <c r="P71" s="1">
        <f t="shared" si="20"/>
        <v>1907086.8599999996</v>
      </c>
      <c r="Q71" s="1">
        <f t="shared" si="21"/>
        <v>24140.339999999997</v>
      </c>
      <c r="R71" s="1">
        <f t="shared" si="22"/>
        <v>286063.02899999992</v>
      </c>
      <c r="S71" s="1">
        <f t="shared" si="23"/>
        <v>1621023.8309999998</v>
      </c>
    </row>
    <row r="72" spans="1:19" x14ac:dyDescent="0.3">
      <c r="A72">
        <v>71</v>
      </c>
      <c r="B72">
        <v>10071</v>
      </c>
      <c r="C72" t="s">
        <v>84</v>
      </c>
      <c r="D72">
        <v>13</v>
      </c>
      <c r="E72" t="s">
        <v>116</v>
      </c>
      <c r="F72" t="s">
        <v>118</v>
      </c>
      <c r="G72" s="1">
        <v>151263</v>
      </c>
      <c r="H72" s="1">
        <f t="shared" si="12"/>
        <v>37815.75</v>
      </c>
      <c r="I72" s="1">
        <f t="shared" si="13"/>
        <v>15126.300000000001</v>
      </c>
      <c r="J72" s="1">
        <f t="shared" si="14"/>
        <v>18907.875</v>
      </c>
      <c r="K72" s="1">
        <f t="shared" si="15"/>
        <v>8621.991</v>
      </c>
      <c r="L72" s="1">
        <f t="shared" si="16"/>
        <v>4840.4160000000002</v>
      </c>
      <c r="M72" s="1">
        <f t="shared" si="17"/>
        <v>236575.33199999999</v>
      </c>
      <c r="N72" s="1">
        <f t="shared" si="18"/>
        <v>2957.1916500000002</v>
      </c>
      <c r="O72" s="1">
        <f t="shared" si="19"/>
        <v>233618.14035</v>
      </c>
      <c r="P72" s="1">
        <f t="shared" si="20"/>
        <v>2803417.6842</v>
      </c>
      <c r="Q72" s="1">
        <f t="shared" si="21"/>
        <v>35486.299800000001</v>
      </c>
      <c r="R72" s="1">
        <f t="shared" si="22"/>
        <v>700854.42105</v>
      </c>
      <c r="S72" s="1">
        <f t="shared" si="23"/>
        <v>2102563.26315</v>
      </c>
    </row>
    <row r="73" spans="1:19" x14ac:dyDescent="0.3">
      <c r="A73">
        <v>72</v>
      </c>
      <c r="B73">
        <v>10072</v>
      </c>
      <c r="C73" t="s">
        <v>85</v>
      </c>
      <c r="D73">
        <v>2</v>
      </c>
      <c r="E73" t="s">
        <v>114</v>
      </c>
      <c r="F73" t="s">
        <v>117</v>
      </c>
      <c r="G73" s="1">
        <v>75000</v>
      </c>
      <c r="H73" s="1">
        <f t="shared" si="12"/>
        <v>18750</v>
      </c>
      <c r="I73" s="1">
        <f t="shared" si="13"/>
        <v>7500</v>
      </c>
      <c r="J73" s="1">
        <f t="shared" si="14"/>
        <v>9375</v>
      </c>
      <c r="K73" s="1">
        <f t="shared" si="15"/>
        <v>4275</v>
      </c>
      <c r="L73" s="1">
        <f t="shared" si="16"/>
        <v>2400</v>
      </c>
      <c r="M73" s="1">
        <f t="shared" si="17"/>
        <v>117300</v>
      </c>
      <c r="N73" s="1">
        <f t="shared" si="18"/>
        <v>1466.25</v>
      </c>
      <c r="O73" s="1">
        <f t="shared" si="19"/>
        <v>115833.75</v>
      </c>
      <c r="P73" s="1">
        <f t="shared" si="20"/>
        <v>1390005</v>
      </c>
      <c r="Q73" s="1">
        <f t="shared" si="21"/>
        <v>17595</v>
      </c>
      <c r="R73" s="1">
        <f t="shared" si="22"/>
        <v>208500.75</v>
      </c>
      <c r="S73" s="1">
        <f t="shared" si="23"/>
        <v>1181504.25</v>
      </c>
    </row>
    <row r="74" spans="1:19" x14ac:dyDescent="0.3">
      <c r="A74">
        <v>73</v>
      </c>
      <c r="B74">
        <v>10073</v>
      </c>
      <c r="C74" t="s">
        <v>86</v>
      </c>
      <c r="D74">
        <v>8</v>
      </c>
      <c r="E74" t="s">
        <v>115</v>
      </c>
      <c r="F74" t="s">
        <v>117</v>
      </c>
      <c r="G74" s="1">
        <v>112900</v>
      </c>
      <c r="H74" s="1">
        <f t="shared" si="12"/>
        <v>28225</v>
      </c>
      <c r="I74" s="1">
        <f t="shared" si="13"/>
        <v>11290</v>
      </c>
      <c r="J74" s="1">
        <f t="shared" si="14"/>
        <v>14112.5</v>
      </c>
      <c r="K74" s="1">
        <f t="shared" si="15"/>
        <v>6435.3</v>
      </c>
      <c r="L74" s="1">
        <f t="shared" si="16"/>
        <v>3612.8</v>
      </c>
      <c r="M74" s="1">
        <f t="shared" si="17"/>
        <v>176575.59999999998</v>
      </c>
      <c r="N74" s="1">
        <f t="shared" si="18"/>
        <v>2207.1949999999997</v>
      </c>
      <c r="O74" s="1">
        <f t="shared" si="19"/>
        <v>174368.40499999997</v>
      </c>
      <c r="P74" s="1">
        <f t="shared" si="20"/>
        <v>2092420.8599999996</v>
      </c>
      <c r="Q74" s="1">
        <f t="shared" si="21"/>
        <v>26486.339999999997</v>
      </c>
      <c r="R74" s="1">
        <f t="shared" si="22"/>
        <v>313863.12899999996</v>
      </c>
      <c r="S74" s="1">
        <f t="shared" si="23"/>
        <v>1778557.7309999997</v>
      </c>
    </row>
    <row r="75" spans="1:19" x14ac:dyDescent="0.3">
      <c r="A75">
        <v>74</v>
      </c>
      <c r="B75">
        <v>10074</v>
      </c>
      <c r="C75" t="s">
        <v>87</v>
      </c>
      <c r="D75">
        <v>14</v>
      </c>
      <c r="E75" t="s">
        <v>116</v>
      </c>
      <c r="F75" t="s">
        <v>118</v>
      </c>
      <c r="G75" s="1">
        <v>166263</v>
      </c>
      <c r="H75" s="1">
        <f t="shared" si="12"/>
        <v>41565.75</v>
      </c>
      <c r="I75" s="1">
        <f t="shared" si="13"/>
        <v>16626.3</v>
      </c>
      <c r="J75" s="1">
        <f t="shared" si="14"/>
        <v>20782.875</v>
      </c>
      <c r="K75" s="1">
        <f t="shared" si="15"/>
        <v>9476.991</v>
      </c>
      <c r="L75" s="1">
        <f t="shared" si="16"/>
        <v>5320.4160000000002</v>
      </c>
      <c r="M75" s="1">
        <f t="shared" si="17"/>
        <v>260035.33199999999</v>
      </c>
      <c r="N75" s="1">
        <f t="shared" si="18"/>
        <v>3250.4416500000002</v>
      </c>
      <c r="O75" s="1">
        <f t="shared" si="19"/>
        <v>256784.89035</v>
      </c>
      <c r="P75" s="1">
        <f t="shared" si="20"/>
        <v>3081418.6842</v>
      </c>
      <c r="Q75" s="1">
        <f t="shared" si="21"/>
        <v>39005.299800000001</v>
      </c>
      <c r="R75" s="1">
        <f t="shared" si="22"/>
        <v>770354.67105</v>
      </c>
      <c r="S75" s="1">
        <f t="shared" si="23"/>
        <v>2311064.01315</v>
      </c>
    </row>
    <row r="76" spans="1:19" x14ac:dyDescent="0.3">
      <c r="A76">
        <v>75</v>
      </c>
      <c r="B76">
        <v>10075</v>
      </c>
      <c r="C76" t="s">
        <v>88</v>
      </c>
      <c r="D76">
        <v>3</v>
      </c>
      <c r="E76" t="s">
        <v>114</v>
      </c>
      <c r="F76" t="s">
        <v>119</v>
      </c>
      <c r="G76" s="1">
        <v>80000</v>
      </c>
      <c r="H76" s="1">
        <f t="shared" si="12"/>
        <v>20000</v>
      </c>
      <c r="I76" s="1">
        <f t="shared" si="13"/>
        <v>8000</v>
      </c>
      <c r="J76" s="1">
        <f t="shared" si="14"/>
        <v>10000</v>
      </c>
      <c r="K76" s="1">
        <f t="shared" si="15"/>
        <v>4560</v>
      </c>
      <c r="L76" s="1">
        <f t="shared" si="16"/>
        <v>2560</v>
      </c>
      <c r="M76" s="1">
        <f t="shared" si="17"/>
        <v>125120</v>
      </c>
      <c r="N76" s="1">
        <f t="shared" si="18"/>
        <v>1564</v>
      </c>
      <c r="O76" s="1">
        <f t="shared" si="19"/>
        <v>123556</v>
      </c>
      <c r="P76" s="1">
        <f t="shared" si="20"/>
        <v>1482672</v>
      </c>
      <c r="Q76" s="1">
        <f t="shared" si="21"/>
        <v>18768</v>
      </c>
      <c r="R76" s="1">
        <f t="shared" si="22"/>
        <v>222400.8</v>
      </c>
      <c r="S76" s="1">
        <f t="shared" si="23"/>
        <v>1260271.2</v>
      </c>
    </row>
    <row r="77" spans="1:19" x14ac:dyDescent="0.3">
      <c r="A77">
        <v>76</v>
      </c>
      <c r="B77">
        <v>10076</v>
      </c>
      <c r="C77" t="s">
        <v>89</v>
      </c>
      <c r="D77">
        <v>9</v>
      </c>
      <c r="E77" t="s">
        <v>115</v>
      </c>
      <c r="F77" t="s">
        <v>120</v>
      </c>
      <c r="G77" s="1">
        <v>122900</v>
      </c>
      <c r="H77" s="1">
        <f t="shared" si="12"/>
        <v>30725</v>
      </c>
      <c r="I77" s="1">
        <f t="shared" si="13"/>
        <v>12290</v>
      </c>
      <c r="J77" s="1">
        <f t="shared" si="14"/>
        <v>15362.5</v>
      </c>
      <c r="K77" s="1">
        <f t="shared" si="15"/>
        <v>7005.3</v>
      </c>
      <c r="L77" s="1">
        <f t="shared" si="16"/>
        <v>3932.8</v>
      </c>
      <c r="M77" s="1">
        <f t="shared" si="17"/>
        <v>192215.59999999998</v>
      </c>
      <c r="N77" s="1">
        <f t="shared" si="18"/>
        <v>2402.6949999999997</v>
      </c>
      <c r="O77" s="1">
        <f t="shared" si="19"/>
        <v>189812.90499999997</v>
      </c>
      <c r="P77" s="1">
        <f t="shared" si="20"/>
        <v>2277754.8599999994</v>
      </c>
      <c r="Q77" s="1">
        <f t="shared" si="21"/>
        <v>28832.339999999997</v>
      </c>
      <c r="R77" s="1">
        <f t="shared" si="22"/>
        <v>341663.22899999988</v>
      </c>
      <c r="S77" s="1">
        <f t="shared" si="23"/>
        <v>1936091.6309999996</v>
      </c>
    </row>
    <row r="78" spans="1:19" x14ac:dyDescent="0.3">
      <c r="A78">
        <v>77</v>
      </c>
      <c r="B78">
        <v>10077</v>
      </c>
      <c r="C78" t="s">
        <v>90</v>
      </c>
      <c r="D78">
        <v>15</v>
      </c>
      <c r="E78" t="s">
        <v>116</v>
      </c>
      <c r="F78" t="s">
        <v>117</v>
      </c>
      <c r="G78" s="1">
        <v>181263</v>
      </c>
      <c r="H78" s="1">
        <f t="shared" si="12"/>
        <v>45315.75</v>
      </c>
      <c r="I78" s="1">
        <f t="shared" si="13"/>
        <v>18126.3</v>
      </c>
      <c r="J78" s="1">
        <f t="shared" si="14"/>
        <v>22657.875</v>
      </c>
      <c r="K78" s="1">
        <f t="shared" si="15"/>
        <v>10331.991</v>
      </c>
      <c r="L78" s="1">
        <f t="shared" si="16"/>
        <v>5800.4160000000002</v>
      </c>
      <c r="M78" s="1">
        <f t="shared" si="17"/>
        <v>283495.33199999999</v>
      </c>
      <c r="N78" s="1">
        <f t="shared" si="18"/>
        <v>3543.6916500000002</v>
      </c>
      <c r="O78" s="1">
        <f t="shared" si="19"/>
        <v>279951.64035</v>
      </c>
      <c r="P78" s="1">
        <f t="shared" si="20"/>
        <v>3359419.6842</v>
      </c>
      <c r="Q78" s="1">
        <f t="shared" si="21"/>
        <v>42524.299800000001</v>
      </c>
      <c r="R78" s="1">
        <f t="shared" si="22"/>
        <v>839854.92105</v>
      </c>
      <c r="S78" s="1">
        <f t="shared" si="23"/>
        <v>2519564.76315</v>
      </c>
    </row>
    <row r="79" spans="1:19" x14ac:dyDescent="0.3">
      <c r="A79">
        <v>78</v>
      </c>
      <c r="B79">
        <v>10078</v>
      </c>
      <c r="C79" t="s">
        <v>91</v>
      </c>
      <c r="D79">
        <v>4</v>
      </c>
      <c r="E79" t="s">
        <v>114</v>
      </c>
      <c r="F79" t="s">
        <v>118</v>
      </c>
      <c r="G79" s="1">
        <v>85000</v>
      </c>
      <c r="H79" s="1">
        <f t="shared" si="12"/>
        <v>21250</v>
      </c>
      <c r="I79" s="1">
        <f t="shared" si="13"/>
        <v>8500</v>
      </c>
      <c r="J79" s="1">
        <f t="shared" si="14"/>
        <v>10625</v>
      </c>
      <c r="K79" s="1">
        <f t="shared" si="15"/>
        <v>4845</v>
      </c>
      <c r="L79" s="1">
        <f t="shared" si="16"/>
        <v>2720</v>
      </c>
      <c r="M79" s="1">
        <f t="shared" si="17"/>
        <v>132940</v>
      </c>
      <c r="N79" s="1">
        <f t="shared" si="18"/>
        <v>1661.75</v>
      </c>
      <c r="O79" s="1">
        <f t="shared" si="19"/>
        <v>131278.25</v>
      </c>
      <c r="P79" s="1">
        <f t="shared" si="20"/>
        <v>1575339</v>
      </c>
      <c r="Q79" s="1">
        <f t="shared" si="21"/>
        <v>19941</v>
      </c>
      <c r="R79" s="1">
        <f t="shared" si="22"/>
        <v>236300.84999999998</v>
      </c>
      <c r="S79" s="1">
        <f t="shared" si="23"/>
        <v>1339038.1499999999</v>
      </c>
    </row>
    <row r="80" spans="1:19" x14ac:dyDescent="0.3">
      <c r="A80">
        <v>79</v>
      </c>
      <c r="B80">
        <v>10079</v>
      </c>
      <c r="C80" t="s">
        <v>92</v>
      </c>
      <c r="D80">
        <v>10</v>
      </c>
      <c r="E80" t="s">
        <v>115</v>
      </c>
      <c r="F80" t="s">
        <v>120</v>
      </c>
      <c r="G80" s="1">
        <v>132900</v>
      </c>
      <c r="H80" s="1">
        <f t="shared" si="12"/>
        <v>33225</v>
      </c>
      <c r="I80" s="1">
        <f t="shared" si="13"/>
        <v>13290</v>
      </c>
      <c r="J80" s="1">
        <f t="shared" si="14"/>
        <v>16612.5</v>
      </c>
      <c r="K80" s="1">
        <f t="shared" si="15"/>
        <v>7575.3</v>
      </c>
      <c r="L80" s="1">
        <f t="shared" si="16"/>
        <v>4252.8</v>
      </c>
      <c r="M80" s="1">
        <f t="shared" si="17"/>
        <v>207855.59999999998</v>
      </c>
      <c r="N80" s="1">
        <f t="shared" si="18"/>
        <v>2598.1949999999997</v>
      </c>
      <c r="O80" s="1">
        <f t="shared" si="19"/>
        <v>205257.40499999997</v>
      </c>
      <c r="P80" s="1">
        <f t="shared" si="20"/>
        <v>2463088.8599999994</v>
      </c>
      <c r="Q80" s="1">
        <f t="shared" si="21"/>
        <v>31178.339999999997</v>
      </c>
      <c r="R80" s="1">
        <f t="shared" si="22"/>
        <v>369463.32899999991</v>
      </c>
      <c r="S80" s="1">
        <f t="shared" si="23"/>
        <v>2093625.5309999995</v>
      </c>
    </row>
    <row r="81" spans="1:19" x14ac:dyDescent="0.3">
      <c r="A81">
        <v>80</v>
      </c>
      <c r="B81">
        <v>10080</v>
      </c>
      <c r="C81" t="s">
        <v>93</v>
      </c>
      <c r="D81">
        <v>16</v>
      </c>
      <c r="E81" t="s">
        <v>116</v>
      </c>
      <c r="F81" t="s">
        <v>117</v>
      </c>
      <c r="G81" s="1">
        <v>196263</v>
      </c>
      <c r="H81" s="1">
        <f t="shared" si="12"/>
        <v>49065.75</v>
      </c>
      <c r="I81" s="1">
        <f t="shared" si="13"/>
        <v>19626.3</v>
      </c>
      <c r="J81" s="1">
        <f t="shared" si="14"/>
        <v>24532.875</v>
      </c>
      <c r="K81" s="1">
        <f t="shared" si="15"/>
        <v>11186.991</v>
      </c>
      <c r="L81" s="1">
        <f t="shared" si="16"/>
        <v>6280.4160000000002</v>
      </c>
      <c r="M81" s="1">
        <f t="shared" si="17"/>
        <v>306955.33199999999</v>
      </c>
      <c r="N81" s="1">
        <f t="shared" si="18"/>
        <v>3836.9416500000002</v>
      </c>
      <c r="O81" s="1">
        <f t="shared" si="19"/>
        <v>303118.39035</v>
      </c>
      <c r="P81" s="1">
        <f t="shared" si="20"/>
        <v>3637420.6842</v>
      </c>
      <c r="Q81" s="1">
        <f t="shared" si="21"/>
        <v>46043.299800000001</v>
      </c>
      <c r="R81" s="1">
        <f t="shared" si="22"/>
        <v>909355.17105</v>
      </c>
      <c r="S81" s="1">
        <f t="shared" si="23"/>
        <v>2728065.51315</v>
      </c>
    </row>
    <row r="82" spans="1:19" x14ac:dyDescent="0.3">
      <c r="A82">
        <v>81</v>
      </c>
      <c r="B82">
        <v>10081</v>
      </c>
      <c r="C82" t="s">
        <v>94</v>
      </c>
      <c r="D82">
        <v>5</v>
      </c>
      <c r="E82" t="s">
        <v>114</v>
      </c>
      <c r="F82" t="s">
        <v>118</v>
      </c>
      <c r="G82" s="1">
        <v>90000</v>
      </c>
      <c r="H82" s="1">
        <f t="shared" si="12"/>
        <v>22500</v>
      </c>
      <c r="I82" s="1">
        <f t="shared" si="13"/>
        <v>9000</v>
      </c>
      <c r="J82" s="1">
        <f t="shared" si="14"/>
        <v>11250</v>
      </c>
      <c r="K82" s="1">
        <f t="shared" si="15"/>
        <v>5130</v>
      </c>
      <c r="L82" s="1">
        <f t="shared" si="16"/>
        <v>2880</v>
      </c>
      <c r="M82" s="1">
        <f t="shared" si="17"/>
        <v>140760</v>
      </c>
      <c r="N82" s="1">
        <f t="shared" si="18"/>
        <v>1759.5</v>
      </c>
      <c r="O82" s="1">
        <f t="shared" si="19"/>
        <v>139000.5</v>
      </c>
      <c r="P82" s="1">
        <f t="shared" si="20"/>
        <v>1668006</v>
      </c>
      <c r="Q82" s="1">
        <f t="shared" si="21"/>
        <v>21114</v>
      </c>
      <c r="R82" s="1">
        <f t="shared" si="22"/>
        <v>250200.9</v>
      </c>
      <c r="S82" s="1">
        <f t="shared" si="23"/>
        <v>1417805.1</v>
      </c>
    </row>
    <row r="83" spans="1:19" x14ac:dyDescent="0.3">
      <c r="A83">
        <v>82</v>
      </c>
      <c r="B83">
        <v>10082</v>
      </c>
      <c r="C83" t="s">
        <v>95</v>
      </c>
      <c r="D83">
        <v>11</v>
      </c>
      <c r="E83" t="s">
        <v>115</v>
      </c>
      <c r="F83" t="s">
        <v>120</v>
      </c>
      <c r="G83" s="1">
        <v>142900</v>
      </c>
      <c r="H83" s="1">
        <f t="shared" si="12"/>
        <v>35725</v>
      </c>
      <c r="I83" s="1">
        <f t="shared" si="13"/>
        <v>14290</v>
      </c>
      <c r="J83" s="1">
        <f t="shared" si="14"/>
        <v>17862.5</v>
      </c>
      <c r="K83" s="1">
        <f t="shared" si="15"/>
        <v>8145.3</v>
      </c>
      <c r="L83" s="1">
        <f t="shared" si="16"/>
        <v>4572.8</v>
      </c>
      <c r="M83" s="1">
        <f t="shared" si="17"/>
        <v>223495.59999999998</v>
      </c>
      <c r="N83" s="1">
        <f t="shared" si="18"/>
        <v>2793.6949999999997</v>
      </c>
      <c r="O83" s="1">
        <f t="shared" si="19"/>
        <v>220701.90499999997</v>
      </c>
      <c r="P83" s="1">
        <f t="shared" si="20"/>
        <v>2648422.8599999994</v>
      </c>
      <c r="Q83" s="1">
        <f t="shared" si="21"/>
        <v>33524.339999999997</v>
      </c>
      <c r="R83" s="1">
        <f t="shared" si="22"/>
        <v>662105.71499999985</v>
      </c>
      <c r="S83" s="1">
        <f t="shared" si="23"/>
        <v>1986317.1449999996</v>
      </c>
    </row>
    <row r="84" spans="1:19" x14ac:dyDescent="0.3">
      <c r="A84">
        <v>83</v>
      </c>
      <c r="B84">
        <v>10083</v>
      </c>
      <c r="C84" t="s">
        <v>96</v>
      </c>
      <c r="D84">
        <v>17</v>
      </c>
      <c r="E84" t="s">
        <v>116</v>
      </c>
      <c r="F84" t="s">
        <v>118</v>
      </c>
      <c r="G84" s="1">
        <v>211263</v>
      </c>
      <c r="H84" s="1">
        <f t="shared" si="12"/>
        <v>52815.75</v>
      </c>
      <c r="I84" s="1">
        <f t="shared" si="13"/>
        <v>21126.300000000003</v>
      </c>
      <c r="J84" s="1">
        <f t="shared" si="14"/>
        <v>26407.875</v>
      </c>
      <c r="K84" s="1">
        <f t="shared" si="15"/>
        <v>12041.991</v>
      </c>
      <c r="L84" s="1">
        <f t="shared" si="16"/>
        <v>6760.4160000000002</v>
      </c>
      <c r="M84" s="1">
        <f t="shared" si="17"/>
        <v>330415.33199999999</v>
      </c>
      <c r="N84" s="1">
        <f t="shared" si="18"/>
        <v>4130.1916499999998</v>
      </c>
      <c r="O84" s="1">
        <f t="shared" si="19"/>
        <v>326285.14035</v>
      </c>
      <c r="P84" s="1">
        <f t="shared" si="20"/>
        <v>3915421.6842</v>
      </c>
      <c r="Q84" s="1">
        <f t="shared" si="21"/>
        <v>49562.299799999993</v>
      </c>
      <c r="R84" s="1">
        <f t="shared" si="22"/>
        <v>978855.42105</v>
      </c>
      <c r="S84" s="1">
        <f t="shared" si="23"/>
        <v>2936566.26315</v>
      </c>
    </row>
    <row r="85" spans="1:19" x14ac:dyDescent="0.3">
      <c r="A85">
        <v>84</v>
      </c>
      <c r="B85">
        <v>10084</v>
      </c>
      <c r="C85" t="s">
        <v>97</v>
      </c>
      <c r="D85">
        <v>6</v>
      </c>
      <c r="E85" t="s">
        <v>114</v>
      </c>
      <c r="F85" t="s">
        <v>117</v>
      </c>
      <c r="G85" s="1">
        <v>95000</v>
      </c>
      <c r="H85" s="1">
        <f t="shared" si="12"/>
        <v>23750</v>
      </c>
      <c r="I85" s="1">
        <f t="shared" si="13"/>
        <v>9500</v>
      </c>
      <c r="J85" s="1">
        <f t="shared" si="14"/>
        <v>11875</v>
      </c>
      <c r="K85" s="1">
        <f t="shared" si="15"/>
        <v>5415</v>
      </c>
      <c r="L85" s="1">
        <f t="shared" si="16"/>
        <v>3040</v>
      </c>
      <c r="M85" s="1">
        <f t="shared" si="17"/>
        <v>148580</v>
      </c>
      <c r="N85" s="1">
        <f t="shared" si="18"/>
        <v>1857.25</v>
      </c>
      <c r="O85" s="1">
        <f t="shared" si="19"/>
        <v>146722.75</v>
      </c>
      <c r="P85" s="1">
        <f t="shared" si="20"/>
        <v>1760673</v>
      </c>
      <c r="Q85" s="1">
        <f t="shared" si="21"/>
        <v>22287</v>
      </c>
      <c r="R85" s="1">
        <f t="shared" si="22"/>
        <v>264100.95</v>
      </c>
      <c r="S85" s="1">
        <f t="shared" si="23"/>
        <v>1496572.05</v>
      </c>
    </row>
    <row r="86" spans="1:19" x14ac:dyDescent="0.3">
      <c r="A86">
        <v>85</v>
      </c>
      <c r="B86">
        <v>10085</v>
      </c>
      <c r="C86" t="s">
        <v>98</v>
      </c>
      <c r="D86">
        <v>12</v>
      </c>
      <c r="E86" t="s">
        <v>115</v>
      </c>
      <c r="F86" t="s">
        <v>117</v>
      </c>
      <c r="G86" s="1">
        <v>152900</v>
      </c>
      <c r="H86" s="1">
        <f t="shared" si="12"/>
        <v>38225</v>
      </c>
      <c r="I86" s="1">
        <f t="shared" si="13"/>
        <v>15290</v>
      </c>
      <c r="J86" s="1">
        <f t="shared" si="14"/>
        <v>19112.5</v>
      </c>
      <c r="K86" s="1">
        <f t="shared" si="15"/>
        <v>8715.3000000000011</v>
      </c>
      <c r="L86" s="1">
        <f t="shared" si="16"/>
        <v>4892.8</v>
      </c>
      <c r="M86" s="1">
        <f t="shared" si="17"/>
        <v>239135.59999999998</v>
      </c>
      <c r="N86" s="1">
        <f t="shared" si="18"/>
        <v>2989.1949999999997</v>
      </c>
      <c r="O86" s="1">
        <f t="shared" si="19"/>
        <v>236146.40499999997</v>
      </c>
      <c r="P86" s="1">
        <f t="shared" si="20"/>
        <v>2833756.8599999994</v>
      </c>
      <c r="Q86" s="1">
        <f t="shared" si="21"/>
        <v>35870.339999999997</v>
      </c>
      <c r="R86" s="1">
        <f t="shared" si="22"/>
        <v>708439.21499999985</v>
      </c>
      <c r="S86" s="1">
        <f t="shared" si="23"/>
        <v>2125317.6449999996</v>
      </c>
    </row>
    <row r="87" spans="1:19" x14ac:dyDescent="0.3">
      <c r="A87">
        <v>86</v>
      </c>
      <c r="B87">
        <v>10086</v>
      </c>
      <c r="C87" t="s">
        <v>99</v>
      </c>
      <c r="D87">
        <v>1</v>
      </c>
      <c r="E87" t="s">
        <v>114</v>
      </c>
      <c r="F87" t="s">
        <v>118</v>
      </c>
      <c r="G87" s="1">
        <v>70000</v>
      </c>
      <c r="H87" s="1">
        <f t="shared" si="12"/>
        <v>17500</v>
      </c>
      <c r="I87" s="1">
        <f t="shared" si="13"/>
        <v>7000</v>
      </c>
      <c r="J87" s="1">
        <f t="shared" si="14"/>
        <v>8750</v>
      </c>
      <c r="K87" s="1">
        <f t="shared" si="15"/>
        <v>3990</v>
      </c>
      <c r="L87" s="1">
        <f t="shared" si="16"/>
        <v>2240</v>
      </c>
      <c r="M87" s="1">
        <f t="shared" si="17"/>
        <v>109480</v>
      </c>
      <c r="N87" s="1">
        <f t="shared" si="18"/>
        <v>1368.5</v>
      </c>
      <c r="O87" s="1">
        <f t="shared" si="19"/>
        <v>108111.5</v>
      </c>
      <c r="P87" s="1">
        <f t="shared" si="20"/>
        <v>1297338</v>
      </c>
      <c r="Q87" s="1">
        <f t="shared" si="21"/>
        <v>16422</v>
      </c>
      <c r="R87" s="1">
        <f t="shared" si="22"/>
        <v>194600.69999999998</v>
      </c>
      <c r="S87" s="1">
        <f t="shared" si="23"/>
        <v>1102737.3</v>
      </c>
    </row>
    <row r="88" spans="1:19" x14ac:dyDescent="0.3">
      <c r="A88">
        <v>87</v>
      </c>
      <c r="B88">
        <v>10087</v>
      </c>
      <c r="C88" t="s">
        <v>100</v>
      </c>
      <c r="D88">
        <v>7</v>
      </c>
      <c r="E88" t="s">
        <v>115</v>
      </c>
      <c r="F88" t="s">
        <v>119</v>
      </c>
      <c r="G88" s="1">
        <v>102900</v>
      </c>
      <c r="H88" s="1">
        <f t="shared" si="12"/>
        <v>25725</v>
      </c>
      <c r="I88" s="1">
        <f t="shared" si="13"/>
        <v>10290</v>
      </c>
      <c r="J88" s="1">
        <f t="shared" si="14"/>
        <v>12862.5</v>
      </c>
      <c r="K88" s="1">
        <f t="shared" si="15"/>
        <v>5865.3</v>
      </c>
      <c r="L88" s="1">
        <f t="shared" si="16"/>
        <v>3292.8</v>
      </c>
      <c r="M88" s="1">
        <f t="shared" si="17"/>
        <v>160935.59999999998</v>
      </c>
      <c r="N88" s="1">
        <f t="shared" si="18"/>
        <v>2011.6949999999997</v>
      </c>
      <c r="O88" s="1">
        <f t="shared" si="19"/>
        <v>158923.90499999997</v>
      </c>
      <c r="P88" s="1">
        <f t="shared" si="20"/>
        <v>1907086.8599999996</v>
      </c>
      <c r="Q88" s="1">
        <f t="shared" si="21"/>
        <v>24140.339999999997</v>
      </c>
      <c r="R88" s="1">
        <f t="shared" si="22"/>
        <v>286063.02899999992</v>
      </c>
      <c r="S88" s="1">
        <f t="shared" si="23"/>
        <v>1621023.8309999998</v>
      </c>
    </row>
    <row r="89" spans="1:19" x14ac:dyDescent="0.3">
      <c r="A89">
        <v>88</v>
      </c>
      <c r="B89">
        <v>10088</v>
      </c>
      <c r="C89" t="s">
        <v>101</v>
      </c>
      <c r="D89">
        <v>13</v>
      </c>
      <c r="E89" t="s">
        <v>116</v>
      </c>
      <c r="F89" t="s">
        <v>120</v>
      </c>
      <c r="G89" s="1">
        <v>151263</v>
      </c>
      <c r="H89" s="1">
        <f t="shared" si="12"/>
        <v>37815.75</v>
      </c>
      <c r="I89" s="1">
        <f t="shared" si="13"/>
        <v>15126.300000000001</v>
      </c>
      <c r="J89" s="1">
        <f t="shared" si="14"/>
        <v>18907.875</v>
      </c>
      <c r="K89" s="1">
        <f t="shared" si="15"/>
        <v>8621.991</v>
      </c>
      <c r="L89" s="1">
        <f t="shared" si="16"/>
        <v>4840.4160000000002</v>
      </c>
      <c r="M89" s="1">
        <f t="shared" si="17"/>
        <v>236575.33199999999</v>
      </c>
      <c r="N89" s="1">
        <f t="shared" si="18"/>
        <v>2957.1916500000002</v>
      </c>
      <c r="O89" s="1">
        <f t="shared" si="19"/>
        <v>233618.14035</v>
      </c>
      <c r="P89" s="1">
        <f t="shared" si="20"/>
        <v>2803417.6842</v>
      </c>
      <c r="Q89" s="1">
        <f t="shared" si="21"/>
        <v>35486.299800000001</v>
      </c>
      <c r="R89" s="1">
        <f t="shared" si="22"/>
        <v>700854.42105</v>
      </c>
      <c r="S89" s="1">
        <f t="shared" si="23"/>
        <v>2102563.26315</v>
      </c>
    </row>
    <row r="90" spans="1:19" x14ac:dyDescent="0.3">
      <c r="A90">
        <v>89</v>
      </c>
      <c r="B90">
        <v>10089</v>
      </c>
      <c r="C90" t="s">
        <v>102</v>
      </c>
      <c r="D90">
        <v>2</v>
      </c>
      <c r="E90" t="s">
        <v>114</v>
      </c>
      <c r="F90" t="s">
        <v>117</v>
      </c>
      <c r="G90" s="1">
        <v>75000</v>
      </c>
      <c r="H90" s="1">
        <f t="shared" si="12"/>
        <v>18750</v>
      </c>
      <c r="I90" s="1">
        <f t="shared" si="13"/>
        <v>7500</v>
      </c>
      <c r="J90" s="1">
        <f t="shared" si="14"/>
        <v>9375</v>
      </c>
      <c r="K90" s="1">
        <f t="shared" si="15"/>
        <v>4275</v>
      </c>
      <c r="L90" s="1">
        <f t="shared" si="16"/>
        <v>2400</v>
      </c>
      <c r="M90" s="1">
        <f t="shared" si="17"/>
        <v>117300</v>
      </c>
      <c r="N90" s="1">
        <f t="shared" si="18"/>
        <v>1466.25</v>
      </c>
      <c r="O90" s="1">
        <f t="shared" si="19"/>
        <v>115833.75</v>
      </c>
      <c r="P90" s="1">
        <f t="shared" si="20"/>
        <v>1390005</v>
      </c>
      <c r="Q90" s="1">
        <f t="shared" si="21"/>
        <v>17595</v>
      </c>
      <c r="R90" s="1">
        <f t="shared" si="22"/>
        <v>208500.75</v>
      </c>
      <c r="S90" s="1">
        <f t="shared" si="23"/>
        <v>1181504.25</v>
      </c>
    </row>
    <row r="91" spans="1:19" x14ac:dyDescent="0.3">
      <c r="A91">
        <v>90</v>
      </c>
      <c r="B91">
        <v>10090</v>
      </c>
      <c r="C91" t="s">
        <v>103</v>
      </c>
      <c r="D91">
        <v>8</v>
      </c>
      <c r="E91" t="s">
        <v>115</v>
      </c>
      <c r="F91" t="s">
        <v>118</v>
      </c>
      <c r="G91" s="1">
        <v>112900</v>
      </c>
      <c r="H91" s="1">
        <f t="shared" si="12"/>
        <v>28225</v>
      </c>
      <c r="I91" s="1">
        <f t="shared" si="13"/>
        <v>11290</v>
      </c>
      <c r="J91" s="1">
        <f t="shared" si="14"/>
        <v>14112.5</v>
      </c>
      <c r="K91" s="1">
        <f t="shared" si="15"/>
        <v>6435.3</v>
      </c>
      <c r="L91" s="1">
        <f t="shared" si="16"/>
        <v>3612.8</v>
      </c>
      <c r="M91" s="1">
        <f t="shared" si="17"/>
        <v>176575.59999999998</v>
      </c>
      <c r="N91" s="1">
        <f t="shared" si="18"/>
        <v>2207.1949999999997</v>
      </c>
      <c r="O91" s="1">
        <f t="shared" si="19"/>
        <v>174368.40499999997</v>
      </c>
      <c r="P91" s="1">
        <f t="shared" si="20"/>
        <v>2092420.8599999996</v>
      </c>
      <c r="Q91" s="1">
        <f t="shared" si="21"/>
        <v>26486.339999999997</v>
      </c>
      <c r="R91" s="1">
        <f t="shared" si="22"/>
        <v>313863.12899999996</v>
      </c>
      <c r="S91" s="1">
        <f t="shared" si="23"/>
        <v>1778557.7309999997</v>
      </c>
    </row>
    <row r="92" spans="1:19" x14ac:dyDescent="0.3">
      <c r="A92">
        <v>91</v>
      </c>
      <c r="B92">
        <v>10091</v>
      </c>
      <c r="C92" t="s">
        <v>104</v>
      </c>
      <c r="D92">
        <v>14</v>
      </c>
      <c r="E92" t="s">
        <v>116</v>
      </c>
      <c r="F92" t="s">
        <v>120</v>
      </c>
      <c r="G92" s="1">
        <v>166263</v>
      </c>
      <c r="H92" s="1">
        <f t="shared" si="12"/>
        <v>41565.75</v>
      </c>
      <c r="I92" s="1">
        <f t="shared" si="13"/>
        <v>16626.3</v>
      </c>
      <c r="J92" s="1">
        <f t="shared" si="14"/>
        <v>20782.875</v>
      </c>
      <c r="K92" s="1">
        <f t="shared" si="15"/>
        <v>9476.991</v>
      </c>
      <c r="L92" s="1">
        <f t="shared" si="16"/>
        <v>5320.4160000000002</v>
      </c>
      <c r="M92" s="1">
        <f t="shared" si="17"/>
        <v>260035.33199999999</v>
      </c>
      <c r="N92" s="1">
        <f t="shared" si="18"/>
        <v>3250.4416500000002</v>
      </c>
      <c r="O92" s="1">
        <f t="shared" si="19"/>
        <v>256784.89035</v>
      </c>
      <c r="P92" s="1">
        <f t="shared" si="20"/>
        <v>3081418.6842</v>
      </c>
      <c r="Q92" s="1">
        <f t="shared" si="21"/>
        <v>39005.299800000001</v>
      </c>
      <c r="R92" s="1">
        <f t="shared" si="22"/>
        <v>770354.67105</v>
      </c>
      <c r="S92" s="1">
        <f t="shared" si="23"/>
        <v>2311064.01315</v>
      </c>
    </row>
    <row r="93" spans="1:19" x14ac:dyDescent="0.3">
      <c r="A93">
        <v>92</v>
      </c>
      <c r="B93">
        <v>10092</v>
      </c>
      <c r="C93" t="s">
        <v>105</v>
      </c>
      <c r="D93">
        <v>3</v>
      </c>
      <c r="E93" t="s">
        <v>114</v>
      </c>
      <c r="F93" t="s">
        <v>117</v>
      </c>
      <c r="G93" s="1">
        <v>80000</v>
      </c>
      <c r="H93" s="1">
        <f t="shared" si="12"/>
        <v>20000</v>
      </c>
      <c r="I93" s="1">
        <f t="shared" si="13"/>
        <v>8000</v>
      </c>
      <c r="J93" s="1">
        <f t="shared" si="14"/>
        <v>10000</v>
      </c>
      <c r="K93" s="1">
        <f t="shared" si="15"/>
        <v>4560</v>
      </c>
      <c r="L93" s="1">
        <f t="shared" si="16"/>
        <v>2560</v>
      </c>
      <c r="M93" s="1">
        <f t="shared" si="17"/>
        <v>125120</v>
      </c>
      <c r="N93" s="1">
        <f t="shared" si="18"/>
        <v>1564</v>
      </c>
      <c r="O93" s="1">
        <f t="shared" si="19"/>
        <v>123556</v>
      </c>
      <c r="P93" s="1">
        <f t="shared" si="20"/>
        <v>1482672</v>
      </c>
      <c r="Q93" s="1">
        <f t="shared" si="21"/>
        <v>18768</v>
      </c>
      <c r="R93" s="1">
        <f t="shared" si="22"/>
        <v>222400.8</v>
      </c>
      <c r="S93" s="1">
        <f t="shared" si="23"/>
        <v>1260271.2</v>
      </c>
    </row>
    <row r="94" spans="1:19" x14ac:dyDescent="0.3">
      <c r="A94">
        <v>93</v>
      </c>
      <c r="B94">
        <v>10093</v>
      </c>
      <c r="C94" t="s">
        <v>106</v>
      </c>
      <c r="D94">
        <v>9</v>
      </c>
      <c r="E94" t="s">
        <v>115</v>
      </c>
      <c r="F94" t="s">
        <v>118</v>
      </c>
      <c r="G94" s="1">
        <v>122900</v>
      </c>
      <c r="H94" s="1">
        <f t="shared" si="12"/>
        <v>30725</v>
      </c>
      <c r="I94" s="1">
        <f t="shared" si="13"/>
        <v>12290</v>
      </c>
      <c r="J94" s="1">
        <f t="shared" si="14"/>
        <v>15362.5</v>
      </c>
      <c r="K94" s="1">
        <f t="shared" si="15"/>
        <v>7005.3</v>
      </c>
      <c r="L94" s="1">
        <f t="shared" si="16"/>
        <v>3932.8</v>
      </c>
      <c r="M94" s="1">
        <f t="shared" si="17"/>
        <v>192215.59999999998</v>
      </c>
      <c r="N94" s="1">
        <f t="shared" si="18"/>
        <v>2402.6949999999997</v>
      </c>
      <c r="O94" s="1">
        <f t="shared" si="19"/>
        <v>189812.90499999997</v>
      </c>
      <c r="P94" s="1">
        <f t="shared" si="20"/>
        <v>2277754.8599999994</v>
      </c>
      <c r="Q94" s="1">
        <f t="shared" si="21"/>
        <v>28832.339999999997</v>
      </c>
      <c r="R94" s="1">
        <f t="shared" si="22"/>
        <v>341663.22899999988</v>
      </c>
      <c r="S94" s="1">
        <f t="shared" si="23"/>
        <v>1936091.6309999996</v>
      </c>
    </row>
    <row r="95" spans="1:19" x14ac:dyDescent="0.3">
      <c r="A95">
        <v>94</v>
      </c>
      <c r="B95">
        <v>10094</v>
      </c>
      <c r="C95" t="s">
        <v>107</v>
      </c>
      <c r="D95">
        <v>15</v>
      </c>
      <c r="E95" t="s">
        <v>116</v>
      </c>
      <c r="F95" t="s">
        <v>120</v>
      </c>
      <c r="G95" s="1">
        <v>181263</v>
      </c>
      <c r="H95" s="1">
        <f t="shared" si="12"/>
        <v>45315.75</v>
      </c>
      <c r="I95" s="1">
        <f t="shared" si="13"/>
        <v>18126.3</v>
      </c>
      <c r="J95" s="1">
        <f t="shared" si="14"/>
        <v>22657.875</v>
      </c>
      <c r="K95" s="1">
        <f t="shared" si="15"/>
        <v>10331.991</v>
      </c>
      <c r="L95" s="1">
        <f t="shared" si="16"/>
        <v>5800.4160000000002</v>
      </c>
      <c r="M95" s="1">
        <f t="shared" si="17"/>
        <v>283495.33199999999</v>
      </c>
      <c r="N95" s="1">
        <f t="shared" si="18"/>
        <v>3543.6916500000002</v>
      </c>
      <c r="O95" s="1">
        <f t="shared" si="19"/>
        <v>279951.64035</v>
      </c>
      <c r="P95" s="1">
        <f t="shared" si="20"/>
        <v>3359419.6842</v>
      </c>
      <c r="Q95" s="1">
        <f t="shared" si="21"/>
        <v>42524.299800000001</v>
      </c>
      <c r="R95" s="1">
        <f t="shared" si="22"/>
        <v>839854.92105</v>
      </c>
      <c r="S95" s="1">
        <f t="shared" si="23"/>
        <v>2519564.76315</v>
      </c>
    </row>
    <row r="96" spans="1:19" x14ac:dyDescent="0.3">
      <c r="A96">
        <v>95</v>
      </c>
      <c r="B96">
        <v>10095</v>
      </c>
      <c r="C96" t="s">
        <v>108</v>
      </c>
      <c r="D96">
        <v>4</v>
      </c>
      <c r="E96" t="s">
        <v>114</v>
      </c>
      <c r="F96" t="s">
        <v>118</v>
      </c>
      <c r="G96" s="1">
        <v>85000</v>
      </c>
      <c r="H96" s="1">
        <f t="shared" si="12"/>
        <v>21250</v>
      </c>
      <c r="I96" s="1">
        <f t="shared" si="13"/>
        <v>8500</v>
      </c>
      <c r="J96" s="1">
        <f t="shared" si="14"/>
        <v>10625</v>
      </c>
      <c r="K96" s="1">
        <f t="shared" si="15"/>
        <v>4845</v>
      </c>
      <c r="L96" s="1">
        <f t="shared" si="16"/>
        <v>2720</v>
      </c>
      <c r="M96" s="1">
        <f t="shared" si="17"/>
        <v>132940</v>
      </c>
      <c r="N96" s="1">
        <f t="shared" si="18"/>
        <v>1661.75</v>
      </c>
      <c r="O96" s="1">
        <f t="shared" si="19"/>
        <v>131278.25</v>
      </c>
      <c r="P96" s="1">
        <f t="shared" si="20"/>
        <v>1575339</v>
      </c>
      <c r="Q96" s="1">
        <f t="shared" si="21"/>
        <v>19941</v>
      </c>
      <c r="R96" s="1">
        <f t="shared" si="22"/>
        <v>236300.84999999998</v>
      </c>
      <c r="S96" s="1">
        <f t="shared" si="23"/>
        <v>1339038.1499999999</v>
      </c>
    </row>
    <row r="97" spans="1:22" x14ac:dyDescent="0.3">
      <c r="A97">
        <v>96</v>
      </c>
      <c r="B97">
        <v>10096</v>
      </c>
      <c r="C97" t="s">
        <v>109</v>
      </c>
      <c r="D97">
        <v>10</v>
      </c>
      <c r="E97" t="s">
        <v>115</v>
      </c>
      <c r="F97" t="s">
        <v>117</v>
      </c>
      <c r="G97" s="1">
        <v>132900</v>
      </c>
      <c r="H97" s="1">
        <f t="shared" si="12"/>
        <v>33225</v>
      </c>
      <c r="I97" s="1">
        <f t="shared" si="13"/>
        <v>13290</v>
      </c>
      <c r="J97" s="1">
        <f t="shared" si="14"/>
        <v>16612.5</v>
      </c>
      <c r="K97" s="1">
        <f t="shared" si="15"/>
        <v>7575.3</v>
      </c>
      <c r="L97" s="1">
        <f t="shared" si="16"/>
        <v>4252.8</v>
      </c>
      <c r="M97" s="1">
        <f t="shared" si="17"/>
        <v>207855.59999999998</v>
      </c>
      <c r="N97" s="1">
        <f t="shared" si="18"/>
        <v>2598.1949999999997</v>
      </c>
      <c r="O97" s="1">
        <f t="shared" si="19"/>
        <v>205257.40499999997</v>
      </c>
      <c r="P97" s="1">
        <f t="shared" si="20"/>
        <v>2463088.8599999994</v>
      </c>
      <c r="Q97" s="1">
        <f t="shared" si="21"/>
        <v>31178.339999999997</v>
      </c>
      <c r="R97" s="1">
        <f t="shared" si="22"/>
        <v>369463.32899999991</v>
      </c>
      <c r="S97" s="1">
        <f t="shared" si="23"/>
        <v>2093625.5309999995</v>
      </c>
    </row>
    <row r="98" spans="1:22" x14ac:dyDescent="0.3">
      <c r="A98">
        <v>97</v>
      </c>
      <c r="B98">
        <v>10097</v>
      </c>
      <c r="C98" t="s">
        <v>110</v>
      </c>
      <c r="D98">
        <v>16</v>
      </c>
      <c r="E98" t="s">
        <v>116</v>
      </c>
      <c r="F98" t="s">
        <v>117</v>
      </c>
      <c r="G98" s="1">
        <v>196263</v>
      </c>
      <c r="H98" s="1">
        <f t="shared" si="12"/>
        <v>49065.75</v>
      </c>
      <c r="I98" s="1">
        <f t="shared" si="13"/>
        <v>19626.3</v>
      </c>
      <c r="J98" s="1">
        <f t="shared" si="14"/>
        <v>24532.875</v>
      </c>
      <c r="K98" s="1">
        <f t="shared" si="15"/>
        <v>11186.991</v>
      </c>
      <c r="L98" s="1">
        <f t="shared" si="16"/>
        <v>6280.4160000000002</v>
      </c>
      <c r="M98" s="1">
        <f t="shared" si="17"/>
        <v>306955.33199999999</v>
      </c>
      <c r="N98" s="1">
        <f t="shared" si="18"/>
        <v>3836.9416500000002</v>
      </c>
      <c r="O98" s="1">
        <f t="shared" si="19"/>
        <v>303118.39035</v>
      </c>
      <c r="P98" s="1">
        <f t="shared" si="20"/>
        <v>3637420.6842</v>
      </c>
      <c r="Q98" s="1">
        <f t="shared" si="21"/>
        <v>46043.299800000001</v>
      </c>
      <c r="R98" s="1">
        <f t="shared" si="22"/>
        <v>909355.17105</v>
      </c>
      <c r="S98" s="1">
        <f t="shared" si="23"/>
        <v>2728065.51315</v>
      </c>
    </row>
    <row r="99" spans="1:22" x14ac:dyDescent="0.3">
      <c r="A99">
        <v>98</v>
      </c>
      <c r="B99">
        <v>10098</v>
      </c>
      <c r="C99" t="s">
        <v>111</v>
      </c>
      <c r="D99">
        <v>13</v>
      </c>
      <c r="E99" t="s">
        <v>116</v>
      </c>
      <c r="F99" t="s">
        <v>118</v>
      </c>
      <c r="G99" s="1">
        <v>151263</v>
      </c>
      <c r="H99" s="1">
        <f t="shared" si="12"/>
        <v>37815.75</v>
      </c>
      <c r="I99" s="1">
        <f t="shared" si="13"/>
        <v>15126.300000000001</v>
      </c>
      <c r="J99" s="1">
        <f t="shared" si="14"/>
        <v>18907.875</v>
      </c>
      <c r="K99" s="1">
        <f t="shared" si="15"/>
        <v>8621.991</v>
      </c>
      <c r="L99" s="1">
        <f t="shared" si="16"/>
        <v>4840.4160000000002</v>
      </c>
      <c r="M99" s="1">
        <f t="shared" si="17"/>
        <v>236575.33199999999</v>
      </c>
      <c r="N99" s="1">
        <f t="shared" si="18"/>
        <v>2957.1916500000002</v>
      </c>
      <c r="O99" s="1">
        <f t="shared" si="19"/>
        <v>233618.14035</v>
      </c>
      <c r="P99" s="1">
        <f t="shared" si="20"/>
        <v>2803417.6842</v>
      </c>
      <c r="Q99" s="1">
        <f t="shared" si="21"/>
        <v>35486.299800000001</v>
      </c>
      <c r="R99" s="1">
        <f t="shared" si="22"/>
        <v>700854.42105</v>
      </c>
      <c r="S99" s="1">
        <f t="shared" si="23"/>
        <v>2102563.26315</v>
      </c>
    </row>
    <row r="100" spans="1:22" x14ac:dyDescent="0.3">
      <c r="A100">
        <v>99</v>
      </c>
      <c r="B100">
        <v>10099</v>
      </c>
      <c r="C100" t="s">
        <v>112</v>
      </c>
      <c r="D100">
        <v>14</v>
      </c>
      <c r="E100" t="s">
        <v>116</v>
      </c>
      <c r="F100" t="s">
        <v>119</v>
      </c>
      <c r="G100" s="1">
        <v>166263</v>
      </c>
      <c r="H100" s="1">
        <f>IF(E100="SENIOR",G100*25%,IF(E100="JUNIOR",G100*25%,IF(E100="CLERK",G100*25%,"Value Not Match")))</f>
        <v>41565.75</v>
      </c>
      <c r="I100" s="1">
        <f t="shared" si="13"/>
        <v>16626.3</v>
      </c>
      <c r="J100" s="1">
        <f t="shared" si="14"/>
        <v>20782.875</v>
      </c>
      <c r="K100" s="1">
        <f t="shared" si="15"/>
        <v>9476.991</v>
      </c>
      <c r="L100" s="1">
        <f t="shared" si="16"/>
        <v>5320.4160000000002</v>
      </c>
      <c r="M100" s="1">
        <f t="shared" si="17"/>
        <v>260035.33199999999</v>
      </c>
      <c r="N100" s="1">
        <f t="shared" si="18"/>
        <v>3250.4416500000002</v>
      </c>
      <c r="O100" s="1">
        <f t="shared" si="19"/>
        <v>256784.89035</v>
      </c>
      <c r="P100" s="1">
        <f t="shared" si="20"/>
        <v>3081418.6842</v>
      </c>
      <c r="Q100" s="1">
        <f t="shared" si="21"/>
        <v>39005.299800000001</v>
      </c>
      <c r="R100" s="1">
        <f t="shared" si="22"/>
        <v>770354.67105</v>
      </c>
      <c r="S100" s="1">
        <f t="shared" si="23"/>
        <v>2311064.01315</v>
      </c>
    </row>
    <row r="101" spans="1:22" x14ac:dyDescent="0.3">
      <c r="U101" s="4"/>
    </row>
    <row r="102" spans="1:22" x14ac:dyDescent="0.3">
      <c r="F102" s="4" t="s">
        <v>122</v>
      </c>
      <c r="G102" s="1">
        <f>MAX(G2:G100)</f>
        <v>211263</v>
      </c>
      <c r="H102" s="1">
        <f t="shared" ref="H102:S102" si="24">MAX(H2:H100)</f>
        <v>52815.75</v>
      </c>
      <c r="I102" s="1">
        <f t="shared" si="24"/>
        <v>21126.300000000003</v>
      </c>
      <c r="J102" s="1">
        <f t="shared" si="24"/>
        <v>26407.875</v>
      </c>
      <c r="K102" s="1">
        <f t="shared" si="24"/>
        <v>12041.991</v>
      </c>
      <c r="L102" s="1">
        <f t="shared" si="24"/>
        <v>6760.4160000000002</v>
      </c>
      <c r="M102" s="1">
        <f t="shared" si="24"/>
        <v>330415.33199999999</v>
      </c>
      <c r="N102" s="1">
        <f t="shared" si="24"/>
        <v>4130.1916499999998</v>
      </c>
      <c r="O102" s="1">
        <f t="shared" si="24"/>
        <v>326285.14035</v>
      </c>
      <c r="P102" s="1">
        <f t="shared" si="24"/>
        <v>3915421.6842</v>
      </c>
      <c r="Q102" s="1">
        <f t="shared" si="24"/>
        <v>49562.299799999993</v>
      </c>
      <c r="R102" s="1">
        <f t="shared" si="24"/>
        <v>978855.42105</v>
      </c>
      <c r="S102" s="1">
        <f t="shared" si="24"/>
        <v>2936566.26315</v>
      </c>
      <c r="U102" s="4"/>
    </row>
    <row r="103" spans="1:22" x14ac:dyDescent="0.3">
      <c r="F103" s="4" t="s">
        <v>123</v>
      </c>
      <c r="G103" s="1">
        <f>MIN(G2:G100)</f>
        <v>70000</v>
      </c>
      <c r="H103" s="1">
        <f t="shared" ref="H103:S103" si="25">MIN(H2:H100)</f>
        <v>17500</v>
      </c>
      <c r="I103" s="1">
        <f t="shared" si="25"/>
        <v>7000</v>
      </c>
      <c r="J103" s="1">
        <f t="shared" si="25"/>
        <v>8750</v>
      </c>
      <c r="K103" s="1">
        <f t="shared" si="25"/>
        <v>3990</v>
      </c>
      <c r="L103" s="1">
        <f t="shared" si="25"/>
        <v>2240</v>
      </c>
      <c r="M103" s="1">
        <f t="shared" si="25"/>
        <v>109480</v>
      </c>
      <c r="N103" s="1">
        <f t="shared" si="25"/>
        <v>1368.5</v>
      </c>
      <c r="O103" s="1">
        <f t="shared" si="25"/>
        <v>108111.5</v>
      </c>
      <c r="P103" s="1">
        <f t="shared" si="25"/>
        <v>1297338</v>
      </c>
      <c r="Q103" s="1">
        <f t="shared" si="25"/>
        <v>16422</v>
      </c>
      <c r="R103" s="1">
        <f t="shared" si="25"/>
        <v>194600.69999999998</v>
      </c>
      <c r="S103" s="1">
        <f t="shared" si="25"/>
        <v>1102737.3</v>
      </c>
      <c r="T103" s="4"/>
      <c r="U103" s="4"/>
    </row>
    <row r="106" spans="1:22" x14ac:dyDescent="0.3">
      <c r="H106" s="2"/>
    </row>
    <row r="107" spans="1:22" x14ac:dyDescent="0.3">
      <c r="I107" s="2"/>
    </row>
    <row r="108" spans="1:22" x14ac:dyDescent="0.3"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</row>
    <row r="109" spans="1:22" x14ac:dyDescent="0.3">
      <c r="H109" s="2"/>
      <c r="N109" s="2"/>
      <c r="O109" s="2"/>
      <c r="P109" s="2"/>
      <c r="Q109" s="2"/>
      <c r="R109" s="2"/>
      <c r="S109" s="2"/>
      <c r="T109" s="2"/>
      <c r="U109" s="2"/>
      <c r="V109" s="4"/>
    </row>
    <row r="110" spans="1:22" x14ac:dyDescent="0.3">
      <c r="H110" s="2"/>
      <c r="I110" s="2"/>
      <c r="J110" s="2"/>
      <c r="K110" s="2"/>
    </row>
    <row r="111" spans="1:22" x14ac:dyDescent="0.3">
      <c r="F111" s="4" t="s">
        <v>113</v>
      </c>
      <c r="G111" s="2" t="s">
        <v>124</v>
      </c>
      <c r="H111" s="2" t="s">
        <v>125</v>
      </c>
      <c r="I111" s="2" t="s">
        <v>126</v>
      </c>
      <c r="J111" s="2" t="s">
        <v>127</v>
      </c>
      <c r="K111" s="2"/>
    </row>
    <row r="112" spans="1:22" x14ac:dyDescent="0.3">
      <c r="F112">
        <v>1</v>
      </c>
      <c r="G112" s="1">
        <f>SUMIF(D2:D100,"1",G2:G100)</f>
        <v>350000</v>
      </c>
      <c r="H112" s="1">
        <f>SUMIF(D2:D100,"1",H2:H100)</f>
        <v>87500</v>
      </c>
      <c r="I112" s="1">
        <f>SUMIF(D2:D100,"1",I2:I100)</f>
        <v>35000</v>
      </c>
      <c r="J112" s="1">
        <f>SUMIF(D2:D100,"1",J2:J100)</f>
        <v>43750</v>
      </c>
    </row>
    <row r="113" spans="6:10" x14ac:dyDescent="0.3">
      <c r="F113">
        <v>2</v>
      </c>
      <c r="G113" s="1">
        <f>SUMIF(D2:D100,"2",G2:G100)</f>
        <v>450000</v>
      </c>
      <c r="H113" s="1">
        <f>SUMIF(D2:D100,"2",H2:H100)</f>
        <v>112500</v>
      </c>
      <c r="I113" s="1">
        <f>SUMIF(D2:D100,"2",I2:I100)</f>
        <v>45000</v>
      </c>
      <c r="J113" s="1">
        <f>SUMIF(D2:D100,"2",J2:J100)</f>
        <v>56250</v>
      </c>
    </row>
    <row r="114" spans="6:10" x14ac:dyDescent="0.3">
      <c r="F114">
        <v>3</v>
      </c>
      <c r="G114" s="1">
        <f>SUMIF(D2:D100,"3",G2:G100)</f>
        <v>480000</v>
      </c>
      <c r="H114" s="1">
        <f>SUMIF(D2:D100,"3",H2:H100)</f>
        <v>120000</v>
      </c>
      <c r="I114" s="1">
        <f>SUMIF(D2:D100,"3",I2:I100)</f>
        <v>48000</v>
      </c>
      <c r="J114" s="1">
        <f>SUMIF(D2:D100,"3",J2:J100)</f>
        <v>60000</v>
      </c>
    </row>
    <row r="115" spans="6:10" x14ac:dyDescent="0.3">
      <c r="F115">
        <v>4</v>
      </c>
      <c r="G115" s="1">
        <f>SUMIF(D2:D100,"4",G2:G100)</f>
        <v>510000</v>
      </c>
      <c r="H115" s="1">
        <f>SUMIF(D2:D100,"4",H2:H100)</f>
        <v>127500</v>
      </c>
      <c r="I115" s="1">
        <f>SUMIF(D2:D100,"4",I2:I100)</f>
        <v>51000</v>
      </c>
      <c r="J115" s="1">
        <f>SUMIF(D2:D100,"4",J2:J100)</f>
        <v>63750</v>
      </c>
    </row>
    <row r="116" spans="6:10" x14ac:dyDescent="0.3">
      <c r="F116">
        <v>5</v>
      </c>
      <c r="G116" s="1">
        <f>SUMIF(D2:D100,"5",G2:G100)</f>
        <v>450000</v>
      </c>
      <c r="H116" s="1">
        <f>SUMIF(D2:D100,"5",H2:H100)</f>
        <v>112500</v>
      </c>
      <c r="I116" s="1">
        <f>SUMIF(D2:D100,"5",I2:I100)</f>
        <v>45000</v>
      </c>
      <c r="J116" s="1">
        <f>SUMIF(D2:D100,"5",J2:J100)</f>
        <v>56250</v>
      </c>
    </row>
    <row r="117" spans="6:10" x14ac:dyDescent="0.3">
      <c r="F117">
        <v>6</v>
      </c>
      <c r="G117" s="1">
        <f>SUMIF(D2:D100,"6",G2:G100)</f>
        <v>475000</v>
      </c>
      <c r="H117" s="1">
        <f>SUMIF(D2:D100,"6",H2:H100)</f>
        <v>118750</v>
      </c>
      <c r="I117" s="1">
        <f>SUMIF(D2:D100,"6",I2:I100)</f>
        <v>47500</v>
      </c>
      <c r="J117" s="1">
        <f>SUMIF(D2:D100,"6",J2:J100)</f>
        <v>59375</v>
      </c>
    </row>
    <row r="118" spans="6:10" x14ac:dyDescent="0.3">
      <c r="F118">
        <v>7</v>
      </c>
      <c r="G118" s="1">
        <f>SUMIF(D2:D100,"7",G2:G100)</f>
        <v>514500</v>
      </c>
      <c r="H118" s="1">
        <f>SUMIF(D2:D100,"7",H2:H100)</f>
        <v>128625</v>
      </c>
      <c r="I118" s="1">
        <f>SUMIF(D2:D100,"7",I2:I100)</f>
        <v>51450</v>
      </c>
      <c r="J118" s="1">
        <f>SUMIF(D2:D100,"7",J2:J100)</f>
        <v>64312.5</v>
      </c>
    </row>
    <row r="119" spans="6:10" x14ac:dyDescent="0.3">
      <c r="F119">
        <v>8</v>
      </c>
      <c r="G119" s="1">
        <f>SUMIF(D2:D100,"8",G2:G100)</f>
        <v>677400</v>
      </c>
      <c r="H119" s="1">
        <f>SUMIF(D2:D100,"8",H2:H100)</f>
        <v>169350</v>
      </c>
      <c r="I119" s="1">
        <f>SUMIF(D2:D100,"8",I2:I100)</f>
        <v>67740</v>
      </c>
      <c r="J119" s="1">
        <f>SUMIF(D2:D100,"8",J2:J100)</f>
        <v>84675</v>
      </c>
    </row>
    <row r="120" spans="6:10" x14ac:dyDescent="0.3">
      <c r="F120">
        <v>9</v>
      </c>
      <c r="G120" s="1">
        <f>SUMIF(D2:D100,"9",G2:G100)</f>
        <v>737400</v>
      </c>
      <c r="H120" s="1">
        <f>SUMIF(D2:D100,"9",H2:H100)</f>
        <v>184350</v>
      </c>
      <c r="I120" s="1">
        <f>SUMIF(D2:D100,"9",I2:I100)</f>
        <v>73740</v>
      </c>
      <c r="J120" s="1">
        <f>SUMIF(D2:D100,"9",J2:J100)</f>
        <v>92175</v>
      </c>
    </row>
    <row r="121" spans="6:10" x14ac:dyDescent="0.3">
      <c r="F121">
        <v>10</v>
      </c>
      <c r="G121" s="1">
        <f>SUMIF(D2:D100,"10",G2:G100)</f>
        <v>797400</v>
      </c>
      <c r="H121" s="1">
        <f>SUMIF(D2:D100,"10",H2:H100)</f>
        <v>199350</v>
      </c>
      <c r="I121" s="1">
        <f>SUMIF(D2:D100,"10",I2:I100)</f>
        <v>79740</v>
      </c>
      <c r="J121" s="1">
        <f>SUMIF(D2:D100,"10",J2:J100)</f>
        <v>99675</v>
      </c>
    </row>
    <row r="122" spans="6:10" x14ac:dyDescent="0.3">
      <c r="F122">
        <v>11</v>
      </c>
      <c r="G122" s="1">
        <f>SUMIF(D2:D100,"11",G2:G100)</f>
        <v>714500</v>
      </c>
      <c r="H122" s="1">
        <f>SUMIF(D2:D100,"11",H2:H100)</f>
        <v>178625</v>
      </c>
      <c r="I122" s="1">
        <f>SUMIF(D2:D100,"11",I2:I100)</f>
        <v>71450</v>
      </c>
      <c r="J122" s="1">
        <f>SUMIF(D2:D100,"11",J2:J100)</f>
        <v>89312.5</v>
      </c>
    </row>
    <row r="123" spans="6:10" x14ac:dyDescent="0.3">
      <c r="F123">
        <v>12</v>
      </c>
      <c r="G123" s="1">
        <f>SUMIF(D2:D100,"12",G2:G100)</f>
        <v>764500</v>
      </c>
      <c r="H123" s="1">
        <f>SUMIF(D2:D100,"12",H2:H100)</f>
        <v>191125</v>
      </c>
      <c r="I123" s="1">
        <f>SUMIF(D2:D100,"12",I2:I100)</f>
        <v>76450</v>
      </c>
      <c r="J123" s="1">
        <f>SUMIF(D2:D100,"12",J2:J100)</f>
        <v>95562.5</v>
      </c>
    </row>
    <row r="124" spans="6:10" x14ac:dyDescent="0.3">
      <c r="F124">
        <v>13</v>
      </c>
      <c r="G124" s="1">
        <f>SUMIF(D2:D100,"13",G2:G100)</f>
        <v>1058841</v>
      </c>
      <c r="H124" s="1">
        <f>SUMIF(D2:D100,"13",H2:H100)</f>
        <v>264710.25</v>
      </c>
      <c r="I124" s="1">
        <f>SUMIF(D2:D100,"13",I2:I100)</f>
        <v>105884.1</v>
      </c>
      <c r="J124" s="1">
        <f>SUMIF(D2:D100,"13",J2:J100)</f>
        <v>132355.125</v>
      </c>
    </row>
    <row r="125" spans="6:10" x14ac:dyDescent="0.3">
      <c r="F125">
        <v>14</v>
      </c>
      <c r="G125" s="1">
        <f>SUMIF(D2:D100,"14",G2:G100)</f>
        <v>1163841</v>
      </c>
      <c r="H125" s="1">
        <f>SUMIF(D2:D100,"14",H2:H100)</f>
        <v>290960.25</v>
      </c>
      <c r="I125" s="1">
        <f>SUMIF(D2:D100,"14",I2:I100)</f>
        <v>116384.1</v>
      </c>
      <c r="J125" s="1">
        <f>SUMIF(D2:D100,"14",J2:J100)</f>
        <v>145480.125</v>
      </c>
    </row>
    <row r="126" spans="6:10" x14ac:dyDescent="0.3">
      <c r="F126">
        <v>15</v>
      </c>
      <c r="G126" s="1">
        <f>SUMIF(D2:D100,"15",G2:G100)</f>
        <v>1268841</v>
      </c>
      <c r="H126" s="1">
        <f>SUMIF(D2:D100,"15",H2:H100)</f>
        <v>317210.25</v>
      </c>
      <c r="I126" s="1">
        <f>SUMIF(D2:D100,"15",I2:I100)</f>
        <v>126884.1</v>
      </c>
      <c r="J126" s="1">
        <f>SUMIF(D2:D100,"15",J2:J100)</f>
        <v>158605.125</v>
      </c>
    </row>
    <row r="127" spans="6:10" x14ac:dyDescent="0.3">
      <c r="F127">
        <v>16</v>
      </c>
      <c r="G127" s="1">
        <f>SUMIF(D2:D100,"16",G2:G100)</f>
        <v>1373841</v>
      </c>
      <c r="H127" s="1">
        <f>SUMIF(D2:D100,"16",H2:H100)</f>
        <v>343460.25</v>
      </c>
      <c r="I127" s="1">
        <f>SUMIF(D2:D100,"16",I2:I100)</f>
        <v>137384.1</v>
      </c>
      <c r="J127" s="1">
        <f>SUMIF(D2:D100,"16",J2:J100)</f>
        <v>171730.125</v>
      </c>
    </row>
    <row r="128" spans="6:10" x14ac:dyDescent="0.3">
      <c r="F128">
        <v>17</v>
      </c>
      <c r="G128" s="1">
        <f>SUMIF(D2:D100,"17",G2:G100)</f>
        <v>1056315</v>
      </c>
      <c r="H128" s="1">
        <f>SUMIF(D2:D100,"17",H2:H100)</f>
        <v>264078.75</v>
      </c>
      <c r="I128" s="1">
        <f>SUMIF(D2:D100,"17",I2:I100)</f>
        <v>105631.50000000001</v>
      </c>
      <c r="J128" s="1">
        <f>SUMIF(D2:D100,"17",J2:J100)</f>
        <v>132039.375</v>
      </c>
    </row>
    <row r="129" spans="5:11" x14ac:dyDescent="0.3">
      <c r="F129" s="4" t="s">
        <v>121</v>
      </c>
      <c r="G129" s="2">
        <f>SUM(G112:G128)</f>
        <v>12842379</v>
      </c>
      <c r="H129" s="2">
        <f>SUM(H112:H128)</f>
        <v>3210594.75</v>
      </c>
      <c r="I129" s="2">
        <f>SUM(I112:I128)</f>
        <v>1284237.8999999999</v>
      </c>
      <c r="J129" s="2">
        <f>SUM(J112:J128)</f>
        <v>1605297.375</v>
      </c>
    </row>
    <row r="131" spans="5:11" x14ac:dyDescent="0.3">
      <c r="F131" s="4" t="s">
        <v>4</v>
      </c>
      <c r="G131" s="1" t="s">
        <v>170</v>
      </c>
      <c r="H131" s="1" t="s">
        <v>171</v>
      </c>
      <c r="I131" s="1" t="s">
        <v>4</v>
      </c>
      <c r="J131" s="1" t="s">
        <v>172</v>
      </c>
    </row>
    <row r="132" spans="5:11" x14ac:dyDescent="0.3">
      <c r="F132" t="str" cm="1">
        <f t="array" ref="F132:F135">_xlfn.UNIQUE(F2:F100)</f>
        <v>ACCOUNTING</v>
      </c>
      <c r="G132" s="1">
        <f>SUMIF(F2:F100,"ACCOUNTING",G2:G100)</f>
        <v>4283604</v>
      </c>
      <c r="H132" s="1">
        <f>AVERAGEIF(F2:F100,"ACCOUNTING",G2:G100)</f>
        <v>129806.18181818182</v>
      </c>
      <c r="I132" s="1" t="s">
        <v>117</v>
      </c>
      <c r="J132" s="1">
        <f>COUNTIF(F2:F100,"ACCOUNTING")</f>
        <v>33</v>
      </c>
    </row>
    <row r="133" spans="5:11" x14ac:dyDescent="0.3">
      <c r="F133" t="str">
        <v>SALES</v>
      </c>
      <c r="G133" s="1">
        <f>SUMIF(F2:F100,"SALES",G2:G100)</f>
        <v>4651645</v>
      </c>
      <c r="H133" s="1">
        <f>AVERAGEIF(F2:F100,"SALES",G2:G100)</f>
        <v>140958.93939393939</v>
      </c>
      <c r="I133" s="1" t="s">
        <v>118</v>
      </c>
      <c r="J133" s="1">
        <f>COUNTIF(F2:F100,"SALES")</f>
        <v>33</v>
      </c>
    </row>
    <row r="134" spans="5:11" x14ac:dyDescent="0.3">
      <c r="F134" t="str">
        <v>IT</v>
      </c>
      <c r="G134" s="1">
        <f>SUMIF(F2:F100,"IT",G2:G100)</f>
        <v>1496741</v>
      </c>
      <c r="H134" s="1">
        <f>AVERAGEIF(F2:F100,"IT",G2:G100)</f>
        <v>166304.55555555556</v>
      </c>
      <c r="I134" s="1" t="s">
        <v>119</v>
      </c>
      <c r="J134" s="1">
        <f>COUNTIF(F2:F100,"IT")</f>
        <v>9</v>
      </c>
    </row>
    <row r="135" spans="5:11" x14ac:dyDescent="0.3">
      <c r="F135" t="str">
        <v>ENGINEERING</v>
      </c>
      <c r="G135" s="1">
        <f>SUMIF(F2:F100,"ENGINEERING",G2:G100)</f>
        <v>2410389</v>
      </c>
      <c r="H135" s="1">
        <f>AVERAGEIF(F2:F100,"ENGINEERING",G2:G100)</f>
        <v>100432.875</v>
      </c>
      <c r="I135" s="1" t="s">
        <v>120</v>
      </c>
      <c r="J135" s="1">
        <f>COUNTIF(F2:F100,"ENGINEERING")</f>
        <v>24</v>
      </c>
    </row>
    <row r="136" spans="5:11" x14ac:dyDescent="0.3">
      <c r="E136" s="4" t="s">
        <v>121</v>
      </c>
      <c r="G136" s="2">
        <f>SUM(G132:G135)</f>
        <v>12842379</v>
      </c>
      <c r="J136" s="2">
        <f>SUM(J132:J135)</f>
        <v>99</v>
      </c>
    </row>
    <row r="138" spans="5:11" x14ac:dyDescent="0.3">
      <c r="F138" s="4" t="s">
        <v>4</v>
      </c>
      <c r="G138" s="2" t="s">
        <v>173</v>
      </c>
      <c r="H138" s="2" t="s">
        <v>171</v>
      </c>
      <c r="J138" s="2" t="s">
        <v>174</v>
      </c>
      <c r="K138" s="2" t="s">
        <v>171</v>
      </c>
    </row>
    <row r="139" spans="5:11" x14ac:dyDescent="0.3">
      <c r="F139" t="s">
        <v>117</v>
      </c>
      <c r="G139" s="1">
        <f>SUMIF(F2:F100,"ACCOUNTING",H2:H100)</f>
        <v>1070901</v>
      </c>
      <c r="H139" s="1">
        <f>AVERAGEIF(F2:F100,"ACCOUNTING",H2:H100)</f>
        <v>32451.545454545456</v>
      </c>
      <c r="J139" s="1">
        <f>SUMIF(F2:F100,"ACCOUNTING",I2:I100)</f>
        <v>428360.39999999997</v>
      </c>
      <c r="K139" s="1">
        <f>AVERAGEIF(F2:F100,"ACCOUNTING",I2:I100)</f>
        <v>12980.618181818181</v>
      </c>
    </row>
    <row r="140" spans="5:11" x14ac:dyDescent="0.3">
      <c r="F140" t="s">
        <v>118</v>
      </c>
      <c r="G140" s="1">
        <f>SUMIF(F2:F100,"SALES",H2:H100)</f>
        <v>1162911.25</v>
      </c>
      <c r="H140" s="1">
        <f>AVERAGEIF(F2:F100,"SALES",H2:H100)</f>
        <v>35239.734848484848</v>
      </c>
      <c r="J140" s="1">
        <f>SUMIF(F2:F100,"SALES",I2:I100)</f>
        <v>465164.49999999988</v>
      </c>
      <c r="K140" s="1">
        <f>AVERAGEIF(F2:F100,"SALES",I2:I100)</f>
        <v>14095.893939393936</v>
      </c>
    </row>
    <row r="141" spans="5:11" x14ac:dyDescent="0.3">
      <c r="F141" t="s">
        <v>119</v>
      </c>
      <c r="G141" s="1">
        <f>SUMIF(F2:F100,"IT",H2:H100)</f>
        <v>374185.25</v>
      </c>
      <c r="H141" s="1">
        <f>AVERAGEIF(F2:F100,"IT",H2:H100)</f>
        <v>41576.138888888891</v>
      </c>
      <c r="J141" s="1">
        <f>SUMIF(F2:F100,"IT",I2:I100)</f>
        <v>149674.1</v>
      </c>
      <c r="K141" s="1">
        <f>AVERAGEIF(F2:F100,"IT",I2:I100)</f>
        <v>16630.455555555556</v>
      </c>
    </row>
    <row r="142" spans="5:11" x14ac:dyDescent="0.3">
      <c r="F142" t="s">
        <v>120</v>
      </c>
      <c r="G142" s="1">
        <f>SUMIF(F2:F100,"ENGINEERING",H2:H100)</f>
        <v>602597.25</v>
      </c>
      <c r="H142" s="1">
        <f>AVERAGEIF(F2:F100,"ENGINEERING",H2:H100)</f>
        <v>25108.21875</v>
      </c>
      <c r="J142" s="1">
        <f>SUMIF(F2:F100,"ENGINEERING",I2:I100)</f>
        <v>241038.89999999997</v>
      </c>
      <c r="K142" s="1">
        <f>AVERAGEIF(F2:F100,"ENGINEERING",I2:I100)</f>
        <v>10043.287499999999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53FD-3C5F-4CB8-B9C0-9FEB587D2E74}">
  <dimension ref="A1:S33"/>
  <sheetViews>
    <sheetView workbookViewId="0">
      <selection sqref="A1:S33"/>
    </sheetView>
  </sheetViews>
  <sheetFormatPr defaultRowHeight="14.4" x14ac:dyDescent="0.3"/>
  <sheetData>
    <row r="1" spans="1:19" x14ac:dyDescent="0.3">
      <c r="A1" s="5">
        <v>3</v>
      </c>
      <c r="B1" s="6">
        <v>10003</v>
      </c>
      <c r="C1" s="6" t="s">
        <v>20</v>
      </c>
      <c r="D1" s="6">
        <v>13</v>
      </c>
      <c r="E1" s="6" t="s">
        <v>116</v>
      </c>
      <c r="F1" s="6" t="s">
        <v>119</v>
      </c>
      <c r="G1" s="9">
        <v>151263</v>
      </c>
      <c r="H1" s="9">
        <v>37815.75</v>
      </c>
      <c r="I1" s="9">
        <v>15126.300000000001</v>
      </c>
      <c r="J1" s="9">
        <v>18907.875</v>
      </c>
      <c r="K1" s="9">
        <v>8621.991</v>
      </c>
      <c r="L1" s="9">
        <v>4840.4160000000002</v>
      </c>
      <c r="M1" s="9">
        <v>236575.33199999999</v>
      </c>
      <c r="N1" s="9">
        <v>2957.1916500000002</v>
      </c>
      <c r="O1" s="9">
        <v>233618.14035</v>
      </c>
      <c r="P1" s="9">
        <v>2803417.6842</v>
      </c>
      <c r="Q1" s="9">
        <v>35486.299800000001</v>
      </c>
      <c r="R1" s="9">
        <v>700854.42105</v>
      </c>
      <c r="S1" s="10">
        <v>2102563.26315</v>
      </c>
    </row>
    <row r="2" spans="1:19" x14ac:dyDescent="0.3">
      <c r="A2" s="7">
        <v>6</v>
      </c>
      <c r="B2" s="8">
        <v>10006</v>
      </c>
      <c r="C2" s="8" t="s">
        <v>23</v>
      </c>
      <c r="D2" s="8">
        <v>14</v>
      </c>
      <c r="E2" s="8" t="s">
        <v>116</v>
      </c>
      <c r="F2" s="8" t="s">
        <v>118</v>
      </c>
      <c r="G2" s="11">
        <v>166263</v>
      </c>
      <c r="H2" s="11">
        <v>41565.75</v>
      </c>
      <c r="I2" s="11">
        <v>16626.3</v>
      </c>
      <c r="J2" s="11">
        <v>20782.875</v>
      </c>
      <c r="K2" s="11">
        <v>9476.991</v>
      </c>
      <c r="L2" s="11">
        <v>5320.4160000000002</v>
      </c>
      <c r="M2" s="11">
        <v>260035.33199999999</v>
      </c>
      <c r="N2" s="11">
        <v>3250.4416500000002</v>
      </c>
      <c r="O2" s="11">
        <v>256784.89035</v>
      </c>
      <c r="P2" s="11">
        <v>3081418.6842</v>
      </c>
      <c r="Q2" s="11">
        <v>39005.299800000001</v>
      </c>
      <c r="R2" s="11">
        <v>770354.67105</v>
      </c>
      <c r="S2" s="12">
        <v>2311064.01315</v>
      </c>
    </row>
    <row r="3" spans="1:19" x14ac:dyDescent="0.3">
      <c r="A3" s="5">
        <v>9</v>
      </c>
      <c r="B3" s="6">
        <v>10009</v>
      </c>
      <c r="C3" s="6" t="s">
        <v>26</v>
      </c>
      <c r="D3" s="6">
        <v>15</v>
      </c>
      <c r="E3" s="6" t="s">
        <v>116</v>
      </c>
      <c r="F3" s="6" t="s">
        <v>118</v>
      </c>
      <c r="G3" s="9">
        <v>181263</v>
      </c>
      <c r="H3" s="9">
        <v>45315.75</v>
      </c>
      <c r="I3" s="9">
        <v>18126.3</v>
      </c>
      <c r="J3" s="9">
        <v>22657.875</v>
      </c>
      <c r="K3" s="9">
        <v>10331.991</v>
      </c>
      <c r="L3" s="9">
        <v>5800.4160000000002</v>
      </c>
      <c r="M3" s="9">
        <v>283495.33199999999</v>
      </c>
      <c r="N3" s="9">
        <v>3543.6916500000002</v>
      </c>
      <c r="O3" s="9">
        <v>279951.64035</v>
      </c>
      <c r="P3" s="9">
        <v>3359419.6842</v>
      </c>
      <c r="Q3" s="9">
        <v>42524.299800000001</v>
      </c>
      <c r="R3" s="9">
        <v>839854.92105</v>
      </c>
      <c r="S3" s="10">
        <v>2519564.76315</v>
      </c>
    </row>
    <row r="4" spans="1:19" x14ac:dyDescent="0.3">
      <c r="A4" s="7">
        <v>12</v>
      </c>
      <c r="B4" s="8">
        <v>10012</v>
      </c>
      <c r="C4" s="8" t="s">
        <v>29</v>
      </c>
      <c r="D4" s="8">
        <v>16</v>
      </c>
      <c r="E4" s="8" t="s">
        <v>116</v>
      </c>
      <c r="F4" s="8" t="s">
        <v>117</v>
      </c>
      <c r="G4" s="11">
        <v>196263</v>
      </c>
      <c r="H4" s="11">
        <v>49065.75</v>
      </c>
      <c r="I4" s="11">
        <v>19626.3</v>
      </c>
      <c r="J4" s="11">
        <v>24532.875</v>
      </c>
      <c r="K4" s="11">
        <v>11186.991</v>
      </c>
      <c r="L4" s="11">
        <v>6280.4160000000002</v>
      </c>
      <c r="M4" s="11">
        <v>306955.33199999999</v>
      </c>
      <c r="N4" s="11">
        <v>3836.9416500000002</v>
      </c>
      <c r="O4" s="11">
        <v>303118.39035</v>
      </c>
      <c r="P4" s="11">
        <v>3637420.6842</v>
      </c>
      <c r="Q4" s="11">
        <v>46043.299800000001</v>
      </c>
      <c r="R4" s="11">
        <v>909355.17105</v>
      </c>
      <c r="S4" s="12">
        <v>2728065.51315</v>
      </c>
    </row>
    <row r="5" spans="1:19" x14ac:dyDescent="0.3">
      <c r="A5" s="5">
        <v>15</v>
      </c>
      <c r="B5" s="6">
        <v>10015</v>
      </c>
      <c r="C5" s="6" t="s">
        <v>32</v>
      </c>
      <c r="D5" s="6">
        <v>17</v>
      </c>
      <c r="E5" s="6" t="s">
        <v>116</v>
      </c>
      <c r="F5" s="6" t="s">
        <v>119</v>
      </c>
      <c r="G5" s="9">
        <v>211263</v>
      </c>
      <c r="H5" s="9">
        <v>52815.75</v>
      </c>
      <c r="I5" s="9">
        <v>21126.300000000003</v>
      </c>
      <c r="J5" s="9">
        <v>26407.875</v>
      </c>
      <c r="K5" s="9">
        <v>12041.991</v>
      </c>
      <c r="L5" s="9">
        <v>6760.4160000000002</v>
      </c>
      <c r="M5" s="9">
        <v>330415.33199999999</v>
      </c>
      <c r="N5" s="9">
        <v>4130.1916499999998</v>
      </c>
      <c r="O5" s="9">
        <v>326285.14035</v>
      </c>
      <c r="P5" s="9">
        <v>3915421.6842</v>
      </c>
      <c r="Q5" s="9">
        <v>49562.299799999993</v>
      </c>
      <c r="R5" s="9">
        <v>978855.42105</v>
      </c>
      <c r="S5" s="10">
        <v>2936566.26315</v>
      </c>
    </row>
    <row r="6" spans="1:19" x14ac:dyDescent="0.3">
      <c r="A6" s="7">
        <v>18</v>
      </c>
      <c r="B6" s="8">
        <v>10018</v>
      </c>
      <c r="C6" s="8" t="s">
        <v>25</v>
      </c>
      <c r="D6" s="8">
        <v>13</v>
      </c>
      <c r="E6" s="8" t="s">
        <v>116</v>
      </c>
      <c r="F6" s="8" t="s">
        <v>118</v>
      </c>
      <c r="G6" s="11">
        <v>151263</v>
      </c>
      <c r="H6" s="11">
        <v>37815.75</v>
      </c>
      <c r="I6" s="11">
        <v>15126.300000000001</v>
      </c>
      <c r="J6" s="11">
        <v>18907.875</v>
      </c>
      <c r="K6" s="11">
        <v>8621.991</v>
      </c>
      <c r="L6" s="11">
        <v>4840.4160000000002</v>
      </c>
      <c r="M6" s="11">
        <v>236575.33199999999</v>
      </c>
      <c r="N6" s="11">
        <v>2957.1916500000002</v>
      </c>
      <c r="O6" s="11">
        <v>233618.14035</v>
      </c>
      <c r="P6" s="11">
        <v>2803417.6842</v>
      </c>
      <c r="Q6" s="11">
        <v>35486.299800000001</v>
      </c>
      <c r="R6" s="11">
        <v>700854.42105</v>
      </c>
      <c r="S6" s="12">
        <v>2102563.26315</v>
      </c>
    </row>
    <row r="7" spans="1:19" x14ac:dyDescent="0.3">
      <c r="A7" s="5">
        <v>21</v>
      </c>
      <c r="B7" s="6">
        <v>10021</v>
      </c>
      <c r="C7" s="6" t="s">
        <v>37</v>
      </c>
      <c r="D7" s="6">
        <v>14</v>
      </c>
      <c r="E7" s="6" t="s">
        <v>116</v>
      </c>
      <c r="F7" s="6" t="s">
        <v>118</v>
      </c>
      <c r="G7" s="9">
        <v>166263</v>
      </c>
      <c r="H7" s="9">
        <v>41565.75</v>
      </c>
      <c r="I7" s="9">
        <v>16626.3</v>
      </c>
      <c r="J7" s="9">
        <v>20782.875</v>
      </c>
      <c r="K7" s="9">
        <v>9476.991</v>
      </c>
      <c r="L7" s="9">
        <v>5320.4160000000002</v>
      </c>
      <c r="M7" s="9">
        <v>260035.33199999999</v>
      </c>
      <c r="N7" s="9">
        <v>3250.4416500000002</v>
      </c>
      <c r="O7" s="9">
        <v>256784.89035</v>
      </c>
      <c r="P7" s="9">
        <v>3081418.6842</v>
      </c>
      <c r="Q7" s="9">
        <v>39005.299800000001</v>
      </c>
      <c r="R7" s="9">
        <v>770354.67105</v>
      </c>
      <c r="S7" s="10">
        <v>2311064.01315</v>
      </c>
    </row>
    <row r="8" spans="1:19" x14ac:dyDescent="0.3">
      <c r="A8" s="7">
        <v>24</v>
      </c>
      <c r="B8" s="8">
        <v>10024</v>
      </c>
      <c r="C8" s="8" t="s">
        <v>40</v>
      </c>
      <c r="D8" s="8">
        <v>15</v>
      </c>
      <c r="E8" s="8" t="s">
        <v>116</v>
      </c>
      <c r="F8" s="8" t="s">
        <v>117</v>
      </c>
      <c r="G8" s="11">
        <v>181263</v>
      </c>
      <c r="H8" s="11">
        <v>45315.75</v>
      </c>
      <c r="I8" s="11">
        <v>18126.3</v>
      </c>
      <c r="J8" s="11">
        <v>22657.875</v>
      </c>
      <c r="K8" s="11">
        <v>10331.991</v>
      </c>
      <c r="L8" s="11">
        <v>5800.4160000000002</v>
      </c>
      <c r="M8" s="11">
        <v>283495.33199999999</v>
      </c>
      <c r="N8" s="11">
        <v>3543.6916500000002</v>
      </c>
      <c r="O8" s="11">
        <v>279951.64035</v>
      </c>
      <c r="P8" s="11">
        <v>3359419.6842</v>
      </c>
      <c r="Q8" s="11">
        <v>42524.299800000001</v>
      </c>
      <c r="R8" s="11">
        <v>839854.92105</v>
      </c>
      <c r="S8" s="12">
        <v>2519564.76315</v>
      </c>
    </row>
    <row r="9" spans="1:19" x14ac:dyDescent="0.3">
      <c r="A9" s="5">
        <v>27</v>
      </c>
      <c r="B9" s="6">
        <v>10027</v>
      </c>
      <c r="C9" s="6" t="s">
        <v>43</v>
      </c>
      <c r="D9" s="6">
        <v>16</v>
      </c>
      <c r="E9" s="6" t="s">
        <v>116</v>
      </c>
      <c r="F9" s="6" t="s">
        <v>119</v>
      </c>
      <c r="G9" s="9">
        <v>196263</v>
      </c>
      <c r="H9" s="9">
        <v>49065.75</v>
      </c>
      <c r="I9" s="9">
        <v>19626.3</v>
      </c>
      <c r="J9" s="9">
        <v>24532.875</v>
      </c>
      <c r="K9" s="9">
        <v>11186.991</v>
      </c>
      <c r="L9" s="9">
        <v>6280.4160000000002</v>
      </c>
      <c r="M9" s="9">
        <v>306955.33199999999</v>
      </c>
      <c r="N9" s="9">
        <v>3836.9416500000002</v>
      </c>
      <c r="O9" s="9">
        <v>303118.39035</v>
      </c>
      <c r="P9" s="9">
        <v>3637420.6842</v>
      </c>
      <c r="Q9" s="9">
        <v>46043.299800000001</v>
      </c>
      <c r="R9" s="9">
        <v>909355.17105</v>
      </c>
      <c r="S9" s="10">
        <v>2728065.51315</v>
      </c>
    </row>
    <row r="10" spans="1:19" x14ac:dyDescent="0.3">
      <c r="A10" s="7">
        <v>30</v>
      </c>
      <c r="B10" s="8">
        <v>10030</v>
      </c>
      <c r="C10" s="8" t="s">
        <v>46</v>
      </c>
      <c r="D10" s="8">
        <v>17</v>
      </c>
      <c r="E10" s="8" t="s">
        <v>116</v>
      </c>
      <c r="F10" s="8" t="s">
        <v>118</v>
      </c>
      <c r="G10" s="11">
        <v>211263</v>
      </c>
      <c r="H10" s="11">
        <v>52815.75</v>
      </c>
      <c r="I10" s="11">
        <v>21126.300000000003</v>
      </c>
      <c r="J10" s="11">
        <v>26407.875</v>
      </c>
      <c r="K10" s="11">
        <v>12041.991</v>
      </c>
      <c r="L10" s="11">
        <v>6760.4160000000002</v>
      </c>
      <c r="M10" s="11">
        <v>330415.33199999999</v>
      </c>
      <c r="N10" s="11">
        <v>4130.1916499999998</v>
      </c>
      <c r="O10" s="11">
        <v>326285.14035</v>
      </c>
      <c r="P10" s="11">
        <v>3915421.6842</v>
      </c>
      <c r="Q10" s="11">
        <v>49562.299799999993</v>
      </c>
      <c r="R10" s="11">
        <v>978855.42105</v>
      </c>
      <c r="S10" s="12">
        <v>2936566.26315</v>
      </c>
    </row>
    <row r="11" spans="1:19" x14ac:dyDescent="0.3">
      <c r="A11" s="5">
        <v>33</v>
      </c>
      <c r="B11" s="6">
        <v>10033</v>
      </c>
      <c r="C11" s="6" t="s">
        <v>49</v>
      </c>
      <c r="D11" s="6">
        <v>13</v>
      </c>
      <c r="E11" s="6" t="s">
        <v>116</v>
      </c>
      <c r="F11" s="6" t="s">
        <v>118</v>
      </c>
      <c r="G11" s="9">
        <v>151263</v>
      </c>
      <c r="H11" s="9">
        <v>37815.75</v>
      </c>
      <c r="I11" s="9">
        <v>15126.300000000001</v>
      </c>
      <c r="J11" s="9">
        <v>18907.875</v>
      </c>
      <c r="K11" s="9">
        <v>8621.991</v>
      </c>
      <c r="L11" s="9">
        <v>4840.4160000000002</v>
      </c>
      <c r="M11" s="9">
        <v>236575.33199999999</v>
      </c>
      <c r="N11" s="9">
        <v>2957.1916500000002</v>
      </c>
      <c r="O11" s="9">
        <v>233618.14035</v>
      </c>
      <c r="P11" s="9">
        <v>2803417.6842</v>
      </c>
      <c r="Q11" s="9">
        <v>35486.299800000001</v>
      </c>
      <c r="R11" s="9">
        <v>700854.42105</v>
      </c>
      <c r="S11" s="10">
        <v>2102563.26315</v>
      </c>
    </row>
    <row r="12" spans="1:19" x14ac:dyDescent="0.3">
      <c r="A12" s="7">
        <v>36</v>
      </c>
      <c r="B12" s="8">
        <v>10036</v>
      </c>
      <c r="C12" s="8" t="s">
        <v>52</v>
      </c>
      <c r="D12" s="8">
        <v>14</v>
      </c>
      <c r="E12" s="8" t="s">
        <v>116</v>
      </c>
      <c r="F12" s="8" t="s">
        <v>117</v>
      </c>
      <c r="G12" s="11">
        <v>166263</v>
      </c>
      <c r="H12" s="11">
        <v>41565.75</v>
      </c>
      <c r="I12" s="11">
        <v>16626.3</v>
      </c>
      <c r="J12" s="11">
        <v>20782.875</v>
      </c>
      <c r="K12" s="11">
        <v>9476.991</v>
      </c>
      <c r="L12" s="11">
        <v>5320.4160000000002</v>
      </c>
      <c r="M12" s="11">
        <v>260035.33199999999</v>
      </c>
      <c r="N12" s="11">
        <v>3250.4416500000002</v>
      </c>
      <c r="O12" s="11">
        <v>256784.89035</v>
      </c>
      <c r="P12" s="11">
        <v>3081418.6842</v>
      </c>
      <c r="Q12" s="11">
        <v>39005.299800000001</v>
      </c>
      <c r="R12" s="11">
        <v>770354.67105</v>
      </c>
      <c r="S12" s="12">
        <v>2311064.01315</v>
      </c>
    </row>
    <row r="13" spans="1:19" x14ac:dyDescent="0.3">
      <c r="A13" s="5">
        <v>39</v>
      </c>
      <c r="B13" s="6">
        <v>10039</v>
      </c>
      <c r="C13" s="6" t="s">
        <v>55</v>
      </c>
      <c r="D13" s="6">
        <v>15</v>
      </c>
      <c r="E13" s="6" t="s">
        <v>116</v>
      </c>
      <c r="F13" s="6" t="s">
        <v>119</v>
      </c>
      <c r="G13" s="9">
        <v>181263</v>
      </c>
      <c r="H13" s="9">
        <v>45315.75</v>
      </c>
      <c r="I13" s="9">
        <v>18126.3</v>
      </c>
      <c r="J13" s="9">
        <v>22657.875</v>
      </c>
      <c r="K13" s="9">
        <v>10331.991</v>
      </c>
      <c r="L13" s="9">
        <v>5800.4160000000002</v>
      </c>
      <c r="M13" s="9">
        <v>283495.33199999999</v>
      </c>
      <c r="N13" s="9">
        <v>3543.6916500000002</v>
      </c>
      <c r="O13" s="9">
        <v>279951.64035</v>
      </c>
      <c r="P13" s="9">
        <v>3359419.6842</v>
      </c>
      <c r="Q13" s="9">
        <v>42524.299800000001</v>
      </c>
      <c r="R13" s="9">
        <v>839854.92105</v>
      </c>
      <c r="S13" s="10">
        <v>2519564.76315</v>
      </c>
    </row>
    <row r="14" spans="1:19" x14ac:dyDescent="0.3">
      <c r="A14" s="7">
        <v>42</v>
      </c>
      <c r="B14" s="8">
        <v>10042</v>
      </c>
      <c r="C14" s="8" t="s">
        <v>58</v>
      </c>
      <c r="D14" s="8">
        <v>16</v>
      </c>
      <c r="E14" s="8" t="s">
        <v>116</v>
      </c>
      <c r="F14" s="8" t="s">
        <v>118</v>
      </c>
      <c r="G14" s="11">
        <v>196263</v>
      </c>
      <c r="H14" s="11">
        <v>49065.75</v>
      </c>
      <c r="I14" s="11">
        <v>19626.3</v>
      </c>
      <c r="J14" s="11">
        <v>24532.875</v>
      </c>
      <c r="K14" s="11">
        <v>11186.991</v>
      </c>
      <c r="L14" s="11">
        <v>6280.4160000000002</v>
      </c>
      <c r="M14" s="11">
        <v>306955.33199999999</v>
      </c>
      <c r="N14" s="11">
        <v>3836.9416500000002</v>
      </c>
      <c r="O14" s="11">
        <v>303118.39035</v>
      </c>
      <c r="P14" s="11">
        <v>3637420.6842</v>
      </c>
      <c r="Q14" s="11">
        <v>46043.299800000001</v>
      </c>
      <c r="R14" s="11">
        <v>909355.17105</v>
      </c>
      <c r="S14" s="12">
        <v>2728065.51315</v>
      </c>
    </row>
    <row r="15" spans="1:19" x14ac:dyDescent="0.3">
      <c r="A15" s="5">
        <v>45</v>
      </c>
      <c r="B15" s="6">
        <v>10045</v>
      </c>
      <c r="C15" s="6" t="s">
        <v>61</v>
      </c>
      <c r="D15" s="6">
        <v>15</v>
      </c>
      <c r="E15" s="6" t="s">
        <v>116</v>
      </c>
      <c r="F15" s="6" t="s">
        <v>118</v>
      </c>
      <c r="G15" s="9">
        <v>181263</v>
      </c>
      <c r="H15" s="9">
        <v>45315.75</v>
      </c>
      <c r="I15" s="9">
        <v>18126.3</v>
      </c>
      <c r="J15" s="9">
        <v>22657.875</v>
      </c>
      <c r="K15" s="9">
        <v>10331.991</v>
      </c>
      <c r="L15" s="9">
        <v>5800.4160000000002</v>
      </c>
      <c r="M15" s="9">
        <v>283495.33199999999</v>
      </c>
      <c r="N15" s="9">
        <v>3543.6916500000002</v>
      </c>
      <c r="O15" s="9">
        <v>279951.64035</v>
      </c>
      <c r="P15" s="9">
        <v>3359419.6842</v>
      </c>
      <c r="Q15" s="9">
        <v>42524.299800000001</v>
      </c>
      <c r="R15" s="9">
        <v>839854.92105</v>
      </c>
      <c r="S15" s="10">
        <v>2519564.76315</v>
      </c>
    </row>
    <row r="16" spans="1:19" x14ac:dyDescent="0.3">
      <c r="A16" s="7">
        <v>48</v>
      </c>
      <c r="B16" s="8">
        <v>10048</v>
      </c>
      <c r="C16" s="8" t="s">
        <v>63</v>
      </c>
      <c r="D16" s="8">
        <v>16</v>
      </c>
      <c r="E16" s="8" t="s">
        <v>116</v>
      </c>
      <c r="F16" s="8" t="s">
        <v>117</v>
      </c>
      <c r="G16" s="11">
        <v>196263</v>
      </c>
      <c r="H16" s="11">
        <v>49065.75</v>
      </c>
      <c r="I16" s="11">
        <v>19626.3</v>
      </c>
      <c r="J16" s="11">
        <v>24532.875</v>
      </c>
      <c r="K16" s="11">
        <v>11186.991</v>
      </c>
      <c r="L16" s="11">
        <v>6280.4160000000002</v>
      </c>
      <c r="M16" s="11">
        <v>306955.33199999999</v>
      </c>
      <c r="N16" s="11">
        <v>3836.9416500000002</v>
      </c>
      <c r="O16" s="11">
        <v>303118.39035</v>
      </c>
      <c r="P16" s="11">
        <v>3637420.6842</v>
      </c>
      <c r="Q16" s="11">
        <v>46043.299800000001</v>
      </c>
      <c r="R16" s="11">
        <v>909355.17105</v>
      </c>
      <c r="S16" s="12">
        <v>2728065.51315</v>
      </c>
    </row>
    <row r="17" spans="1:19" x14ac:dyDescent="0.3">
      <c r="A17" s="5">
        <v>51</v>
      </c>
      <c r="B17" s="6">
        <v>10051</v>
      </c>
      <c r="C17" s="6" t="s">
        <v>66</v>
      </c>
      <c r="D17" s="6">
        <v>17</v>
      </c>
      <c r="E17" s="6" t="s">
        <v>116</v>
      </c>
      <c r="F17" s="6" t="s">
        <v>119</v>
      </c>
      <c r="G17" s="9">
        <v>211263</v>
      </c>
      <c r="H17" s="9">
        <v>52815.75</v>
      </c>
      <c r="I17" s="9">
        <v>21126.300000000003</v>
      </c>
      <c r="J17" s="9">
        <v>26407.875</v>
      </c>
      <c r="K17" s="9">
        <v>12041.991</v>
      </c>
      <c r="L17" s="9">
        <v>6760.4160000000002</v>
      </c>
      <c r="M17" s="9">
        <v>330415.33199999999</v>
      </c>
      <c r="N17" s="9">
        <v>4130.1916499999998</v>
      </c>
      <c r="O17" s="9">
        <v>326285.14035</v>
      </c>
      <c r="P17" s="9">
        <v>3915421.6842</v>
      </c>
      <c r="Q17" s="9">
        <v>49562.299799999993</v>
      </c>
      <c r="R17" s="9">
        <v>978855.42105</v>
      </c>
      <c r="S17" s="10">
        <v>2936566.26315</v>
      </c>
    </row>
    <row r="18" spans="1:19" x14ac:dyDescent="0.3">
      <c r="A18" s="7">
        <v>54</v>
      </c>
      <c r="B18" s="8">
        <v>10054</v>
      </c>
      <c r="C18" s="8" t="s">
        <v>68</v>
      </c>
      <c r="D18" s="8">
        <v>13</v>
      </c>
      <c r="E18" s="8" t="s">
        <v>116</v>
      </c>
      <c r="F18" s="8" t="s">
        <v>118</v>
      </c>
      <c r="G18" s="11">
        <v>151263</v>
      </c>
      <c r="H18" s="11">
        <v>37815.75</v>
      </c>
      <c r="I18" s="11">
        <v>15126.300000000001</v>
      </c>
      <c r="J18" s="11">
        <v>18907.875</v>
      </c>
      <c r="K18" s="11">
        <v>8621.991</v>
      </c>
      <c r="L18" s="11">
        <v>4840.4160000000002</v>
      </c>
      <c r="M18" s="11">
        <v>236575.33199999999</v>
      </c>
      <c r="N18" s="11">
        <v>2957.1916500000002</v>
      </c>
      <c r="O18" s="11">
        <v>233618.14035</v>
      </c>
      <c r="P18" s="11">
        <v>2803417.6842</v>
      </c>
      <c r="Q18" s="11">
        <v>35486.299800000001</v>
      </c>
      <c r="R18" s="11">
        <v>700854.42105</v>
      </c>
      <c r="S18" s="12">
        <v>2102563.26315</v>
      </c>
    </row>
    <row r="19" spans="1:19" x14ac:dyDescent="0.3">
      <c r="A19" s="5">
        <v>57</v>
      </c>
      <c r="B19" s="6">
        <v>10057</v>
      </c>
      <c r="C19" s="6" t="s">
        <v>71</v>
      </c>
      <c r="D19" s="6">
        <v>14</v>
      </c>
      <c r="E19" s="6" t="s">
        <v>116</v>
      </c>
      <c r="F19" s="6" t="s">
        <v>118</v>
      </c>
      <c r="G19" s="9">
        <v>166263</v>
      </c>
      <c r="H19" s="9">
        <v>41565.75</v>
      </c>
      <c r="I19" s="9">
        <v>16626.3</v>
      </c>
      <c r="J19" s="9">
        <v>20782.875</v>
      </c>
      <c r="K19" s="9">
        <v>9476.991</v>
      </c>
      <c r="L19" s="9">
        <v>5320.4160000000002</v>
      </c>
      <c r="M19" s="9">
        <v>260035.33199999999</v>
      </c>
      <c r="N19" s="9">
        <v>3250.4416500000002</v>
      </c>
      <c r="O19" s="9">
        <v>256784.89035</v>
      </c>
      <c r="P19" s="9">
        <v>3081418.6842</v>
      </c>
      <c r="Q19" s="9">
        <v>39005.299800000001</v>
      </c>
      <c r="R19" s="9">
        <v>770354.67105</v>
      </c>
      <c r="S19" s="10">
        <v>2311064.01315</v>
      </c>
    </row>
    <row r="20" spans="1:19" x14ac:dyDescent="0.3">
      <c r="A20" s="7">
        <v>60</v>
      </c>
      <c r="B20" s="8">
        <v>10060</v>
      </c>
      <c r="C20" s="8" t="s">
        <v>74</v>
      </c>
      <c r="D20" s="8">
        <v>15</v>
      </c>
      <c r="E20" s="8" t="s">
        <v>116</v>
      </c>
      <c r="F20" s="8" t="s">
        <v>117</v>
      </c>
      <c r="G20" s="11">
        <v>181263</v>
      </c>
      <c r="H20" s="11">
        <v>45315.75</v>
      </c>
      <c r="I20" s="11">
        <v>18126.3</v>
      </c>
      <c r="J20" s="11">
        <v>22657.875</v>
      </c>
      <c r="K20" s="11">
        <v>10331.991</v>
      </c>
      <c r="L20" s="11">
        <v>5800.4160000000002</v>
      </c>
      <c r="M20" s="11">
        <v>283495.33199999999</v>
      </c>
      <c r="N20" s="11">
        <v>3543.6916500000002</v>
      </c>
      <c r="O20" s="11">
        <v>279951.64035</v>
      </c>
      <c r="P20" s="11">
        <v>3359419.6842</v>
      </c>
      <c r="Q20" s="11">
        <v>42524.299800000001</v>
      </c>
      <c r="R20" s="11">
        <v>839854.92105</v>
      </c>
      <c r="S20" s="12">
        <v>2519564.76315</v>
      </c>
    </row>
    <row r="21" spans="1:19" x14ac:dyDescent="0.3">
      <c r="A21" s="5">
        <v>63</v>
      </c>
      <c r="B21" s="6">
        <v>10063</v>
      </c>
      <c r="C21" s="6" t="s">
        <v>38</v>
      </c>
      <c r="D21" s="6">
        <v>16</v>
      </c>
      <c r="E21" s="6" t="s">
        <v>116</v>
      </c>
      <c r="F21" s="6" t="s">
        <v>119</v>
      </c>
      <c r="G21" s="9">
        <v>196263</v>
      </c>
      <c r="H21" s="9">
        <v>49065.75</v>
      </c>
      <c r="I21" s="9">
        <v>19626.3</v>
      </c>
      <c r="J21" s="9">
        <v>24532.875</v>
      </c>
      <c r="K21" s="9">
        <v>11186.991</v>
      </c>
      <c r="L21" s="9">
        <v>6280.4160000000002</v>
      </c>
      <c r="M21" s="9">
        <v>306955.33199999999</v>
      </c>
      <c r="N21" s="9">
        <v>3836.9416500000002</v>
      </c>
      <c r="O21" s="9">
        <v>303118.39035</v>
      </c>
      <c r="P21" s="9">
        <v>3637420.6842</v>
      </c>
      <c r="Q21" s="9">
        <v>46043.299800000001</v>
      </c>
      <c r="R21" s="9">
        <v>909355.17105</v>
      </c>
      <c r="S21" s="10">
        <v>2728065.51315</v>
      </c>
    </row>
    <row r="22" spans="1:19" x14ac:dyDescent="0.3">
      <c r="A22" s="7">
        <v>66</v>
      </c>
      <c r="B22" s="8">
        <v>10066</v>
      </c>
      <c r="C22" s="8" t="s">
        <v>79</v>
      </c>
      <c r="D22" s="8">
        <v>17</v>
      </c>
      <c r="E22" s="8" t="s">
        <v>116</v>
      </c>
      <c r="F22" s="8" t="s">
        <v>118</v>
      </c>
      <c r="G22" s="11">
        <v>211263</v>
      </c>
      <c r="H22" s="11">
        <v>52815.75</v>
      </c>
      <c r="I22" s="11">
        <v>21126.300000000003</v>
      </c>
      <c r="J22" s="11">
        <v>26407.875</v>
      </c>
      <c r="K22" s="11">
        <v>12041.991</v>
      </c>
      <c r="L22" s="11">
        <v>6760.4160000000002</v>
      </c>
      <c r="M22" s="11">
        <v>330415.33199999999</v>
      </c>
      <c r="N22" s="11">
        <v>4130.1916499999998</v>
      </c>
      <c r="O22" s="11">
        <v>326285.14035</v>
      </c>
      <c r="P22" s="11">
        <v>3915421.6842</v>
      </c>
      <c r="Q22" s="11">
        <v>49562.299799999993</v>
      </c>
      <c r="R22" s="11">
        <v>978855.42105</v>
      </c>
      <c r="S22" s="12">
        <v>2936566.26315</v>
      </c>
    </row>
    <row r="23" spans="1:19" x14ac:dyDescent="0.3">
      <c r="A23" s="5">
        <v>71</v>
      </c>
      <c r="B23" s="6">
        <v>10071</v>
      </c>
      <c r="C23" s="6" t="s">
        <v>84</v>
      </c>
      <c r="D23" s="6">
        <v>13</v>
      </c>
      <c r="E23" s="6" t="s">
        <v>116</v>
      </c>
      <c r="F23" s="6" t="s">
        <v>118</v>
      </c>
      <c r="G23" s="9">
        <v>151263</v>
      </c>
      <c r="H23" s="9">
        <v>37815.75</v>
      </c>
      <c r="I23" s="9">
        <v>15126.300000000001</v>
      </c>
      <c r="J23" s="9">
        <v>18907.875</v>
      </c>
      <c r="K23" s="9">
        <v>8621.991</v>
      </c>
      <c r="L23" s="9">
        <v>4840.4160000000002</v>
      </c>
      <c r="M23" s="9">
        <v>236575.33199999999</v>
      </c>
      <c r="N23" s="9">
        <v>2957.1916500000002</v>
      </c>
      <c r="O23" s="9">
        <v>233618.14035</v>
      </c>
      <c r="P23" s="9">
        <v>2803417.6842</v>
      </c>
      <c r="Q23" s="9">
        <v>35486.299800000001</v>
      </c>
      <c r="R23" s="9">
        <v>700854.42105</v>
      </c>
      <c r="S23" s="10">
        <v>2102563.26315</v>
      </c>
    </row>
    <row r="24" spans="1:19" x14ac:dyDescent="0.3">
      <c r="A24" s="7">
        <v>74</v>
      </c>
      <c r="B24" s="8">
        <v>10074</v>
      </c>
      <c r="C24" s="8" t="s">
        <v>87</v>
      </c>
      <c r="D24" s="8">
        <v>14</v>
      </c>
      <c r="E24" s="8" t="s">
        <v>116</v>
      </c>
      <c r="F24" s="8" t="s">
        <v>118</v>
      </c>
      <c r="G24" s="11">
        <v>166263</v>
      </c>
      <c r="H24" s="11">
        <v>41565.75</v>
      </c>
      <c r="I24" s="11">
        <v>16626.3</v>
      </c>
      <c r="J24" s="11">
        <v>20782.875</v>
      </c>
      <c r="K24" s="11">
        <v>9476.991</v>
      </c>
      <c r="L24" s="11">
        <v>5320.4160000000002</v>
      </c>
      <c r="M24" s="11">
        <v>260035.33199999999</v>
      </c>
      <c r="N24" s="11">
        <v>3250.4416500000002</v>
      </c>
      <c r="O24" s="11">
        <v>256784.89035</v>
      </c>
      <c r="P24" s="11">
        <v>3081418.6842</v>
      </c>
      <c r="Q24" s="11">
        <v>39005.299800000001</v>
      </c>
      <c r="R24" s="11">
        <v>770354.67105</v>
      </c>
      <c r="S24" s="12">
        <v>2311064.01315</v>
      </c>
    </row>
    <row r="25" spans="1:19" x14ac:dyDescent="0.3">
      <c r="A25" s="5">
        <v>77</v>
      </c>
      <c r="B25" s="6">
        <v>10077</v>
      </c>
      <c r="C25" s="6" t="s">
        <v>90</v>
      </c>
      <c r="D25" s="6">
        <v>15</v>
      </c>
      <c r="E25" s="6" t="s">
        <v>116</v>
      </c>
      <c r="F25" s="6" t="s">
        <v>117</v>
      </c>
      <c r="G25" s="9">
        <v>181263</v>
      </c>
      <c r="H25" s="9">
        <v>45315.75</v>
      </c>
      <c r="I25" s="9">
        <v>18126.3</v>
      </c>
      <c r="J25" s="9">
        <v>22657.875</v>
      </c>
      <c r="K25" s="9">
        <v>10331.991</v>
      </c>
      <c r="L25" s="9">
        <v>5800.4160000000002</v>
      </c>
      <c r="M25" s="9">
        <v>283495.33199999999</v>
      </c>
      <c r="N25" s="9">
        <v>3543.6916500000002</v>
      </c>
      <c r="O25" s="9">
        <v>279951.64035</v>
      </c>
      <c r="P25" s="9">
        <v>3359419.6842</v>
      </c>
      <c r="Q25" s="9">
        <v>42524.299800000001</v>
      </c>
      <c r="R25" s="9">
        <v>839854.92105</v>
      </c>
      <c r="S25" s="10">
        <v>2519564.76315</v>
      </c>
    </row>
    <row r="26" spans="1:19" x14ac:dyDescent="0.3">
      <c r="A26" s="7">
        <v>80</v>
      </c>
      <c r="B26" s="8">
        <v>10080</v>
      </c>
      <c r="C26" s="8" t="s">
        <v>93</v>
      </c>
      <c r="D26" s="8">
        <v>16</v>
      </c>
      <c r="E26" s="8" t="s">
        <v>116</v>
      </c>
      <c r="F26" s="8" t="s">
        <v>117</v>
      </c>
      <c r="G26" s="11">
        <v>196263</v>
      </c>
      <c r="H26" s="11">
        <v>49065.75</v>
      </c>
      <c r="I26" s="11">
        <v>19626.3</v>
      </c>
      <c r="J26" s="11">
        <v>24532.875</v>
      </c>
      <c r="K26" s="11">
        <v>11186.991</v>
      </c>
      <c r="L26" s="11">
        <v>6280.4160000000002</v>
      </c>
      <c r="M26" s="11">
        <v>306955.33199999999</v>
      </c>
      <c r="N26" s="11">
        <v>3836.9416500000002</v>
      </c>
      <c r="O26" s="11">
        <v>303118.39035</v>
      </c>
      <c r="P26" s="11">
        <v>3637420.6842</v>
      </c>
      <c r="Q26" s="11">
        <v>46043.299800000001</v>
      </c>
      <c r="R26" s="11">
        <v>909355.17105</v>
      </c>
      <c r="S26" s="12">
        <v>2728065.51315</v>
      </c>
    </row>
    <row r="27" spans="1:19" x14ac:dyDescent="0.3">
      <c r="A27" s="5">
        <v>83</v>
      </c>
      <c r="B27" s="6">
        <v>10083</v>
      </c>
      <c r="C27" s="6" t="s">
        <v>96</v>
      </c>
      <c r="D27" s="6">
        <v>17</v>
      </c>
      <c r="E27" s="6" t="s">
        <v>116</v>
      </c>
      <c r="F27" s="6" t="s">
        <v>118</v>
      </c>
      <c r="G27" s="9">
        <v>211263</v>
      </c>
      <c r="H27" s="9">
        <v>52815.75</v>
      </c>
      <c r="I27" s="9">
        <v>21126.300000000003</v>
      </c>
      <c r="J27" s="9">
        <v>26407.875</v>
      </c>
      <c r="K27" s="9">
        <v>12041.991</v>
      </c>
      <c r="L27" s="9">
        <v>6760.4160000000002</v>
      </c>
      <c r="M27" s="9">
        <v>330415.33199999999</v>
      </c>
      <c r="N27" s="9">
        <v>4130.1916499999998</v>
      </c>
      <c r="O27" s="9">
        <v>326285.14035</v>
      </c>
      <c r="P27" s="9">
        <v>3915421.6842</v>
      </c>
      <c r="Q27" s="9">
        <v>49562.299799999993</v>
      </c>
      <c r="R27" s="9">
        <v>978855.42105</v>
      </c>
      <c r="S27" s="10">
        <v>2936566.26315</v>
      </c>
    </row>
    <row r="28" spans="1:19" x14ac:dyDescent="0.3">
      <c r="A28" s="7">
        <v>88</v>
      </c>
      <c r="B28" s="8">
        <v>10088</v>
      </c>
      <c r="C28" s="8" t="s">
        <v>101</v>
      </c>
      <c r="D28" s="8">
        <v>13</v>
      </c>
      <c r="E28" s="8" t="s">
        <v>116</v>
      </c>
      <c r="F28" s="8" t="s">
        <v>120</v>
      </c>
      <c r="G28" s="11">
        <v>151263</v>
      </c>
      <c r="H28" s="11">
        <v>37815.75</v>
      </c>
      <c r="I28" s="11">
        <v>15126.300000000001</v>
      </c>
      <c r="J28" s="11">
        <v>18907.875</v>
      </c>
      <c r="K28" s="11">
        <v>8621.991</v>
      </c>
      <c r="L28" s="11">
        <v>4840.4160000000002</v>
      </c>
      <c r="M28" s="11">
        <v>236575.33199999999</v>
      </c>
      <c r="N28" s="11">
        <v>2957.1916500000002</v>
      </c>
      <c r="O28" s="11">
        <v>233618.14035</v>
      </c>
      <c r="P28" s="11">
        <v>2803417.6842</v>
      </c>
      <c r="Q28" s="11">
        <v>35486.299800000001</v>
      </c>
      <c r="R28" s="11">
        <v>700854.42105</v>
      </c>
      <c r="S28" s="12">
        <v>2102563.26315</v>
      </c>
    </row>
    <row r="29" spans="1:19" x14ac:dyDescent="0.3">
      <c r="A29" s="5">
        <v>91</v>
      </c>
      <c r="B29" s="6">
        <v>10091</v>
      </c>
      <c r="C29" s="6" t="s">
        <v>104</v>
      </c>
      <c r="D29" s="6">
        <v>14</v>
      </c>
      <c r="E29" s="6" t="s">
        <v>116</v>
      </c>
      <c r="F29" s="6" t="s">
        <v>120</v>
      </c>
      <c r="G29" s="9">
        <v>166263</v>
      </c>
      <c r="H29" s="9">
        <v>41565.75</v>
      </c>
      <c r="I29" s="9">
        <v>16626.3</v>
      </c>
      <c r="J29" s="9">
        <v>20782.875</v>
      </c>
      <c r="K29" s="9">
        <v>9476.991</v>
      </c>
      <c r="L29" s="9">
        <v>5320.4160000000002</v>
      </c>
      <c r="M29" s="9">
        <v>260035.33199999999</v>
      </c>
      <c r="N29" s="9">
        <v>3250.4416500000002</v>
      </c>
      <c r="O29" s="9">
        <v>256784.89035</v>
      </c>
      <c r="P29" s="9">
        <v>3081418.6842</v>
      </c>
      <c r="Q29" s="9">
        <v>39005.299800000001</v>
      </c>
      <c r="R29" s="9">
        <v>770354.67105</v>
      </c>
      <c r="S29" s="10">
        <v>2311064.01315</v>
      </c>
    </row>
    <row r="30" spans="1:19" x14ac:dyDescent="0.3">
      <c r="A30" s="7">
        <v>94</v>
      </c>
      <c r="B30" s="8">
        <v>10094</v>
      </c>
      <c r="C30" s="8" t="s">
        <v>107</v>
      </c>
      <c r="D30" s="8">
        <v>15</v>
      </c>
      <c r="E30" s="8" t="s">
        <v>116</v>
      </c>
      <c r="F30" s="8" t="s">
        <v>120</v>
      </c>
      <c r="G30" s="11">
        <v>181263</v>
      </c>
      <c r="H30" s="11">
        <v>45315.75</v>
      </c>
      <c r="I30" s="11">
        <v>18126.3</v>
      </c>
      <c r="J30" s="11">
        <v>22657.875</v>
      </c>
      <c r="K30" s="11">
        <v>10331.991</v>
      </c>
      <c r="L30" s="11">
        <v>5800.4160000000002</v>
      </c>
      <c r="M30" s="11">
        <v>283495.33199999999</v>
      </c>
      <c r="N30" s="11">
        <v>3543.6916500000002</v>
      </c>
      <c r="O30" s="11">
        <v>279951.64035</v>
      </c>
      <c r="P30" s="11">
        <v>3359419.6842</v>
      </c>
      <c r="Q30" s="11">
        <v>42524.299800000001</v>
      </c>
      <c r="R30" s="11">
        <v>839854.92105</v>
      </c>
      <c r="S30" s="12">
        <v>2519564.76315</v>
      </c>
    </row>
    <row r="31" spans="1:19" x14ac:dyDescent="0.3">
      <c r="A31" s="5">
        <v>97</v>
      </c>
      <c r="B31" s="6">
        <v>10097</v>
      </c>
      <c r="C31" s="6" t="s">
        <v>110</v>
      </c>
      <c r="D31" s="6">
        <v>16</v>
      </c>
      <c r="E31" s="6" t="s">
        <v>116</v>
      </c>
      <c r="F31" s="6" t="s">
        <v>117</v>
      </c>
      <c r="G31" s="9">
        <v>196263</v>
      </c>
      <c r="H31" s="9">
        <v>49065.75</v>
      </c>
      <c r="I31" s="9">
        <v>19626.3</v>
      </c>
      <c r="J31" s="9">
        <v>24532.875</v>
      </c>
      <c r="K31" s="9">
        <v>11186.991</v>
      </c>
      <c r="L31" s="9">
        <v>6280.4160000000002</v>
      </c>
      <c r="M31" s="9">
        <v>306955.33199999999</v>
      </c>
      <c r="N31" s="9">
        <v>3836.9416500000002</v>
      </c>
      <c r="O31" s="9">
        <v>303118.39035</v>
      </c>
      <c r="P31" s="9">
        <v>3637420.6842</v>
      </c>
      <c r="Q31" s="9">
        <v>46043.299800000001</v>
      </c>
      <c r="R31" s="9">
        <v>909355.17105</v>
      </c>
      <c r="S31" s="10">
        <v>2728065.51315</v>
      </c>
    </row>
    <row r="32" spans="1:19" x14ac:dyDescent="0.3">
      <c r="A32" s="7">
        <v>98</v>
      </c>
      <c r="B32" s="8">
        <v>10098</v>
      </c>
      <c r="C32" s="8" t="s">
        <v>111</v>
      </c>
      <c r="D32" s="8">
        <v>13</v>
      </c>
      <c r="E32" s="8" t="s">
        <v>116</v>
      </c>
      <c r="F32" s="8" t="s">
        <v>118</v>
      </c>
      <c r="G32" s="11">
        <v>151263</v>
      </c>
      <c r="H32" s="11">
        <v>37815.75</v>
      </c>
      <c r="I32" s="11">
        <v>15126.300000000001</v>
      </c>
      <c r="J32" s="11">
        <v>18907.875</v>
      </c>
      <c r="K32" s="11">
        <v>8621.991</v>
      </c>
      <c r="L32" s="11">
        <v>4840.4160000000002</v>
      </c>
      <c r="M32" s="11">
        <v>236575.33199999999</v>
      </c>
      <c r="N32" s="11">
        <v>2957.1916500000002</v>
      </c>
      <c r="O32" s="11">
        <v>233618.14035</v>
      </c>
      <c r="P32" s="11">
        <v>2803417.6842</v>
      </c>
      <c r="Q32" s="11">
        <v>35486.299800000001</v>
      </c>
      <c r="R32" s="11">
        <v>700854.42105</v>
      </c>
      <c r="S32" s="12">
        <v>2102563.26315</v>
      </c>
    </row>
    <row r="33" spans="1:19" x14ac:dyDescent="0.3">
      <c r="A33" s="5">
        <v>99</v>
      </c>
      <c r="B33" s="6">
        <v>10099</v>
      </c>
      <c r="C33" s="6" t="s">
        <v>112</v>
      </c>
      <c r="D33" s="6">
        <v>14</v>
      </c>
      <c r="E33" s="6" t="s">
        <v>116</v>
      </c>
      <c r="F33" s="6" t="s">
        <v>119</v>
      </c>
      <c r="G33" s="9">
        <v>166263</v>
      </c>
      <c r="H33" s="9">
        <v>41565.75</v>
      </c>
      <c r="I33" s="9">
        <v>16626.3</v>
      </c>
      <c r="J33" s="9">
        <v>20782.875</v>
      </c>
      <c r="K33" s="9">
        <v>9476.991</v>
      </c>
      <c r="L33" s="9">
        <v>5320.4160000000002</v>
      </c>
      <c r="M33" s="9">
        <v>260035.33199999999</v>
      </c>
      <c r="N33" s="9">
        <v>3250.4416500000002</v>
      </c>
      <c r="O33" s="9">
        <v>256784.89035</v>
      </c>
      <c r="P33" s="9">
        <v>3081418.6842</v>
      </c>
      <c r="Q33" s="9">
        <v>39005.299800000001</v>
      </c>
      <c r="R33" s="9">
        <v>770354.67105</v>
      </c>
      <c r="S33" s="10">
        <v>2311064.01315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4CB9-2A1B-4A1B-8C9C-FA02E8E2B9AD}">
  <dimension ref="A1:S33"/>
  <sheetViews>
    <sheetView workbookViewId="0">
      <selection sqref="A1:S33"/>
    </sheetView>
  </sheetViews>
  <sheetFormatPr defaultRowHeight="14.4" x14ac:dyDescent="0.3"/>
  <sheetData>
    <row r="1" spans="1:19" x14ac:dyDescent="0.3">
      <c r="A1" s="5">
        <v>2</v>
      </c>
      <c r="B1" s="6">
        <v>10002</v>
      </c>
      <c r="C1" s="6" t="s">
        <v>19</v>
      </c>
      <c r="D1" s="6">
        <v>7</v>
      </c>
      <c r="E1" s="6" t="s">
        <v>115</v>
      </c>
      <c r="F1" s="6" t="s">
        <v>118</v>
      </c>
      <c r="G1" s="9">
        <v>102900</v>
      </c>
      <c r="H1" s="9">
        <v>25725</v>
      </c>
      <c r="I1" s="9">
        <v>10290</v>
      </c>
      <c r="J1" s="9">
        <v>12862.5</v>
      </c>
      <c r="K1" s="9">
        <v>5865.3</v>
      </c>
      <c r="L1" s="9">
        <v>3292.8</v>
      </c>
      <c r="M1" s="9">
        <v>160935.59999999998</v>
      </c>
      <c r="N1" s="9">
        <v>2011.6949999999997</v>
      </c>
      <c r="O1" s="9">
        <v>158923.90499999997</v>
      </c>
      <c r="P1" s="9">
        <v>1907086.8599999996</v>
      </c>
      <c r="Q1" s="9">
        <v>24140.339999999997</v>
      </c>
      <c r="R1" s="9">
        <v>286063.02899999992</v>
      </c>
      <c r="S1" s="10">
        <v>1621023.8309999998</v>
      </c>
    </row>
    <row r="2" spans="1:19" x14ac:dyDescent="0.3">
      <c r="A2" s="7">
        <v>5</v>
      </c>
      <c r="B2" s="8">
        <v>10005</v>
      </c>
      <c r="C2" s="8" t="s">
        <v>22</v>
      </c>
      <c r="D2" s="8">
        <v>8</v>
      </c>
      <c r="E2" s="8" t="s">
        <v>115</v>
      </c>
      <c r="F2" s="8" t="s">
        <v>117</v>
      </c>
      <c r="G2" s="11">
        <v>112900</v>
      </c>
      <c r="H2" s="11">
        <v>28225</v>
      </c>
      <c r="I2" s="11">
        <v>11290</v>
      </c>
      <c r="J2" s="11">
        <v>14112.5</v>
      </c>
      <c r="K2" s="11">
        <v>6435.3</v>
      </c>
      <c r="L2" s="11">
        <v>3612.8</v>
      </c>
      <c r="M2" s="11">
        <v>176575.59999999998</v>
      </c>
      <c r="N2" s="11">
        <v>2207.1949999999997</v>
      </c>
      <c r="O2" s="11">
        <v>174368.40499999997</v>
      </c>
      <c r="P2" s="11">
        <v>2092420.8599999996</v>
      </c>
      <c r="Q2" s="11">
        <v>26486.339999999997</v>
      </c>
      <c r="R2" s="11">
        <v>313863.12899999996</v>
      </c>
      <c r="S2" s="12">
        <v>1778557.7309999997</v>
      </c>
    </row>
    <row r="3" spans="1:19" x14ac:dyDescent="0.3">
      <c r="A3" s="5">
        <v>8</v>
      </c>
      <c r="B3" s="6">
        <v>10008</v>
      </c>
      <c r="C3" s="6" t="s">
        <v>25</v>
      </c>
      <c r="D3" s="6">
        <v>9</v>
      </c>
      <c r="E3" s="6" t="s">
        <v>115</v>
      </c>
      <c r="F3" s="6" t="s">
        <v>117</v>
      </c>
      <c r="G3" s="9">
        <v>122900</v>
      </c>
      <c r="H3" s="9">
        <v>30725</v>
      </c>
      <c r="I3" s="9">
        <v>12290</v>
      </c>
      <c r="J3" s="9">
        <v>15362.5</v>
      </c>
      <c r="K3" s="9">
        <v>7005.3</v>
      </c>
      <c r="L3" s="9">
        <v>3932.8</v>
      </c>
      <c r="M3" s="9">
        <v>192215.59999999998</v>
      </c>
      <c r="N3" s="9">
        <v>2402.6949999999997</v>
      </c>
      <c r="O3" s="9">
        <v>189812.90499999997</v>
      </c>
      <c r="P3" s="9">
        <v>2277754.8599999994</v>
      </c>
      <c r="Q3" s="9">
        <v>28832.339999999997</v>
      </c>
      <c r="R3" s="9">
        <v>341663.22899999988</v>
      </c>
      <c r="S3" s="10">
        <v>1936091.6309999996</v>
      </c>
    </row>
    <row r="4" spans="1:19" x14ac:dyDescent="0.3">
      <c r="A4" s="7">
        <v>11</v>
      </c>
      <c r="B4" s="8">
        <v>10011</v>
      </c>
      <c r="C4" s="8" t="s">
        <v>28</v>
      </c>
      <c r="D4" s="8">
        <v>10</v>
      </c>
      <c r="E4" s="8" t="s">
        <v>115</v>
      </c>
      <c r="F4" s="8" t="s">
        <v>118</v>
      </c>
      <c r="G4" s="11">
        <v>132900</v>
      </c>
      <c r="H4" s="11">
        <v>33225</v>
      </c>
      <c r="I4" s="11">
        <v>13290</v>
      </c>
      <c r="J4" s="11">
        <v>16612.5</v>
      </c>
      <c r="K4" s="11">
        <v>7575.3</v>
      </c>
      <c r="L4" s="11">
        <v>4252.8</v>
      </c>
      <c r="M4" s="11">
        <v>207855.59999999998</v>
      </c>
      <c r="N4" s="11">
        <v>2598.1949999999997</v>
      </c>
      <c r="O4" s="11">
        <v>205257.40499999997</v>
      </c>
      <c r="P4" s="11">
        <v>2463088.8599999994</v>
      </c>
      <c r="Q4" s="11">
        <v>31178.339999999997</v>
      </c>
      <c r="R4" s="11">
        <v>369463.32899999991</v>
      </c>
      <c r="S4" s="12">
        <v>2093625.5309999995</v>
      </c>
    </row>
    <row r="5" spans="1:19" x14ac:dyDescent="0.3">
      <c r="A5" s="5">
        <v>14</v>
      </c>
      <c r="B5" s="6">
        <v>10014</v>
      </c>
      <c r="C5" s="6" t="s">
        <v>31</v>
      </c>
      <c r="D5" s="6">
        <v>11</v>
      </c>
      <c r="E5" s="6" t="s">
        <v>115</v>
      </c>
      <c r="F5" s="6" t="s">
        <v>118</v>
      </c>
      <c r="G5" s="9">
        <v>142900</v>
      </c>
      <c r="H5" s="9">
        <v>35725</v>
      </c>
      <c r="I5" s="9">
        <v>14290</v>
      </c>
      <c r="J5" s="9">
        <v>17862.5</v>
      </c>
      <c r="K5" s="9">
        <v>8145.3</v>
      </c>
      <c r="L5" s="9">
        <v>4572.8</v>
      </c>
      <c r="M5" s="9">
        <v>223495.59999999998</v>
      </c>
      <c r="N5" s="9">
        <v>2793.6949999999997</v>
      </c>
      <c r="O5" s="9">
        <v>220701.90499999997</v>
      </c>
      <c r="P5" s="9">
        <v>2648422.8599999994</v>
      </c>
      <c r="Q5" s="9">
        <v>33524.339999999997</v>
      </c>
      <c r="R5" s="9">
        <v>662105.71499999985</v>
      </c>
      <c r="S5" s="10">
        <v>1986317.1449999996</v>
      </c>
    </row>
    <row r="6" spans="1:19" x14ac:dyDescent="0.3">
      <c r="A6" s="7">
        <v>17</v>
      </c>
      <c r="B6" s="8">
        <v>10017</v>
      </c>
      <c r="C6" s="8" t="s">
        <v>34</v>
      </c>
      <c r="D6" s="8">
        <v>12</v>
      </c>
      <c r="E6" s="8" t="s">
        <v>115</v>
      </c>
      <c r="F6" s="8" t="s">
        <v>117</v>
      </c>
      <c r="G6" s="11">
        <v>152900</v>
      </c>
      <c r="H6" s="11">
        <v>38225</v>
      </c>
      <c r="I6" s="11">
        <v>15290</v>
      </c>
      <c r="J6" s="11">
        <v>19112.5</v>
      </c>
      <c r="K6" s="11">
        <v>8715.3000000000011</v>
      </c>
      <c r="L6" s="11">
        <v>4892.8</v>
      </c>
      <c r="M6" s="11">
        <v>239135.59999999998</v>
      </c>
      <c r="N6" s="11">
        <v>2989.1949999999997</v>
      </c>
      <c r="O6" s="11">
        <v>236146.40499999997</v>
      </c>
      <c r="P6" s="11">
        <v>2833756.8599999994</v>
      </c>
      <c r="Q6" s="11">
        <v>35870.339999999997</v>
      </c>
      <c r="R6" s="11">
        <v>708439.21499999985</v>
      </c>
      <c r="S6" s="12">
        <v>2125317.6449999996</v>
      </c>
    </row>
    <row r="7" spans="1:19" x14ac:dyDescent="0.3">
      <c r="A7" s="5">
        <v>20</v>
      </c>
      <c r="B7" s="6">
        <v>10020</v>
      </c>
      <c r="C7" s="6" t="s">
        <v>36</v>
      </c>
      <c r="D7" s="6">
        <v>8</v>
      </c>
      <c r="E7" s="6" t="s">
        <v>115</v>
      </c>
      <c r="F7" s="6" t="s">
        <v>117</v>
      </c>
      <c r="G7" s="9">
        <v>112900</v>
      </c>
      <c r="H7" s="9">
        <v>28225</v>
      </c>
      <c r="I7" s="9">
        <v>11290</v>
      </c>
      <c r="J7" s="9">
        <v>14112.5</v>
      </c>
      <c r="K7" s="9">
        <v>6435.3</v>
      </c>
      <c r="L7" s="9">
        <v>3612.8</v>
      </c>
      <c r="M7" s="9">
        <v>176575.59999999998</v>
      </c>
      <c r="N7" s="9">
        <v>2207.1949999999997</v>
      </c>
      <c r="O7" s="9">
        <v>174368.40499999997</v>
      </c>
      <c r="P7" s="9">
        <v>2092420.8599999996</v>
      </c>
      <c r="Q7" s="9">
        <v>26486.339999999997</v>
      </c>
      <c r="R7" s="9">
        <v>313863.12899999996</v>
      </c>
      <c r="S7" s="10">
        <v>1778557.7309999997</v>
      </c>
    </row>
    <row r="8" spans="1:19" x14ac:dyDescent="0.3">
      <c r="A8" s="7">
        <v>23</v>
      </c>
      <c r="B8" s="8">
        <v>10023</v>
      </c>
      <c r="C8" s="8" t="s">
        <v>39</v>
      </c>
      <c r="D8" s="8">
        <v>9</v>
      </c>
      <c r="E8" s="8" t="s">
        <v>115</v>
      </c>
      <c r="F8" s="8" t="s">
        <v>118</v>
      </c>
      <c r="G8" s="11">
        <v>122900</v>
      </c>
      <c r="H8" s="11">
        <v>30725</v>
      </c>
      <c r="I8" s="11">
        <v>12290</v>
      </c>
      <c r="J8" s="11">
        <v>15362.5</v>
      </c>
      <c r="K8" s="11">
        <v>7005.3</v>
      </c>
      <c r="L8" s="11">
        <v>3932.8</v>
      </c>
      <c r="M8" s="11">
        <v>192215.59999999998</v>
      </c>
      <c r="N8" s="11">
        <v>2402.6949999999997</v>
      </c>
      <c r="O8" s="11">
        <v>189812.90499999997</v>
      </c>
      <c r="P8" s="11">
        <v>2277754.8599999994</v>
      </c>
      <c r="Q8" s="11">
        <v>28832.339999999997</v>
      </c>
      <c r="R8" s="11">
        <v>341663.22899999988</v>
      </c>
      <c r="S8" s="12">
        <v>1936091.6309999996</v>
      </c>
    </row>
    <row r="9" spans="1:19" x14ac:dyDescent="0.3">
      <c r="A9" s="5">
        <v>26</v>
      </c>
      <c r="B9" s="6">
        <v>10026</v>
      </c>
      <c r="C9" s="6" t="s">
        <v>42</v>
      </c>
      <c r="D9" s="6">
        <v>10</v>
      </c>
      <c r="E9" s="6" t="s">
        <v>115</v>
      </c>
      <c r="F9" s="6" t="s">
        <v>118</v>
      </c>
      <c r="G9" s="9">
        <v>132900</v>
      </c>
      <c r="H9" s="9">
        <v>33225</v>
      </c>
      <c r="I9" s="9">
        <v>13290</v>
      </c>
      <c r="J9" s="9">
        <v>16612.5</v>
      </c>
      <c r="K9" s="9">
        <v>7575.3</v>
      </c>
      <c r="L9" s="9">
        <v>4252.8</v>
      </c>
      <c r="M9" s="9">
        <v>207855.59999999998</v>
      </c>
      <c r="N9" s="9">
        <v>2598.1949999999997</v>
      </c>
      <c r="O9" s="9">
        <v>205257.40499999997</v>
      </c>
      <c r="P9" s="9">
        <v>2463088.8599999994</v>
      </c>
      <c r="Q9" s="9">
        <v>31178.339999999997</v>
      </c>
      <c r="R9" s="9">
        <v>369463.32899999991</v>
      </c>
      <c r="S9" s="10">
        <v>2093625.5309999995</v>
      </c>
    </row>
    <row r="10" spans="1:19" x14ac:dyDescent="0.3">
      <c r="A10" s="7">
        <v>29</v>
      </c>
      <c r="B10" s="8">
        <v>10029</v>
      </c>
      <c r="C10" s="8" t="s">
        <v>45</v>
      </c>
      <c r="D10" s="8">
        <v>11</v>
      </c>
      <c r="E10" s="8" t="s">
        <v>115</v>
      </c>
      <c r="F10" s="8" t="s">
        <v>117</v>
      </c>
      <c r="G10" s="11">
        <v>142900</v>
      </c>
      <c r="H10" s="11">
        <v>35725</v>
      </c>
      <c r="I10" s="11">
        <v>14290</v>
      </c>
      <c r="J10" s="11">
        <v>17862.5</v>
      </c>
      <c r="K10" s="11">
        <v>8145.3</v>
      </c>
      <c r="L10" s="11">
        <v>4572.8</v>
      </c>
      <c r="M10" s="11">
        <v>223495.59999999998</v>
      </c>
      <c r="N10" s="11">
        <v>2793.6949999999997</v>
      </c>
      <c r="O10" s="11">
        <v>220701.90499999997</v>
      </c>
      <c r="P10" s="11">
        <v>2648422.8599999994</v>
      </c>
      <c r="Q10" s="11">
        <v>33524.339999999997</v>
      </c>
      <c r="R10" s="11">
        <v>662105.71499999985</v>
      </c>
      <c r="S10" s="12">
        <v>1986317.1449999996</v>
      </c>
    </row>
    <row r="11" spans="1:19" x14ac:dyDescent="0.3">
      <c r="A11" s="5">
        <v>32</v>
      </c>
      <c r="B11" s="6">
        <v>10032</v>
      </c>
      <c r="C11" s="6" t="s">
        <v>48</v>
      </c>
      <c r="D11" s="6">
        <v>12</v>
      </c>
      <c r="E11" s="6" t="s">
        <v>115</v>
      </c>
      <c r="F11" s="6" t="s">
        <v>117</v>
      </c>
      <c r="G11" s="9">
        <v>152900</v>
      </c>
      <c r="H11" s="9">
        <v>38225</v>
      </c>
      <c r="I11" s="9">
        <v>15290</v>
      </c>
      <c r="J11" s="9">
        <v>19112.5</v>
      </c>
      <c r="K11" s="9">
        <v>8715.3000000000011</v>
      </c>
      <c r="L11" s="9">
        <v>4892.8</v>
      </c>
      <c r="M11" s="9">
        <v>239135.59999999998</v>
      </c>
      <c r="N11" s="9">
        <v>2989.1949999999997</v>
      </c>
      <c r="O11" s="9">
        <v>236146.40499999997</v>
      </c>
      <c r="P11" s="9">
        <v>2833756.8599999994</v>
      </c>
      <c r="Q11" s="9">
        <v>35870.339999999997</v>
      </c>
      <c r="R11" s="9">
        <v>708439.21499999985</v>
      </c>
      <c r="S11" s="10">
        <v>2125317.6449999996</v>
      </c>
    </row>
    <row r="12" spans="1:19" x14ac:dyDescent="0.3">
      <c r="A12" s="7">
        <v>35</v>
      </c>
      <c r="B12" s="8">
        <v>10035</v>
      </c>
      <c r="C12" s="8" t="s">
        <v>51</v>
      </c>
      <c r="D12" s="8">
        <v>7</v>
      </c>
      <c r="E12" s="8" t="s">
        <v>115</v>
      </c>
      <c r="F12" s="8" t="s">
        <v>118</v>
      </c>
      <c r="G12" s="11">
        <v>102900</v>
      </c>
      <c r="H12" s="11">
        <v>25725</v>
      </c>
      <c r="I12" s="11">
        <v>10290</v>
      </c>
      <c r="J12" s="11">
        <v>12862.5</v>
      </c>
      <c r="K12" s="11">
        <v>5865.3</v>
      </c>
      <c r="L12" s="11">
        <v>3292.8</v>
      </c>
      <c r="M12" s="11">
        <v>160935.59999999998</v>
      </c>
      <c r="N12" s="11">
        <v>2011.6949999999997</v>
      </c>
      <c r="O12" s="11">
        <v>158923.90499999997</v>
      </c>
      <c r="P12" s="11">
        <v>1907086.8599999996</v>
      </c>
      <c r="Q12" s="11">
        <v>24140.339999999997</v>
      </c>
      <c r="R12" s="11">
        <v>286063.02899999992</v>
      </c>
      <c r="S12" s="12">
        <v>1621023.8309999998</v>
      </c>
    </row>
    <row r="13" spans="1:19" x14ac:dyDescent="0.3">
      <c r="A13" s="5">
        <v>38</v>
      </c>
      <c r="B13" s="6">
        <v>10038</v>
      </c>
      <c r="C13" s="6" t="s">
        <v>54</v>
      </c>
      <c r="D13" s="6">
        <v>8</v>
      </c>
      <c r="E13" s="6" t="s">
        <v>115</v>
      </c>
      <c r="F13" s="6" t="s">
        <v>118</v>
      </c>
      <c r="G13" s="9">
        <v>112900</v>
      </c>
      <c r="H13" s="9">
        <v>28225</v>
      </c>
      <c r="I13" s="9">
        <v>11290</v>
      </c>
      <c r="J13" s="9">
        <v>14112.5</v>
      </c>
      <c r="K13" s="9">
        <v>6435.3</v>
      </c>
      <c r="L13" s="9">
        <v>3612.8</v>
      </c>
      <c r="M13" s="9">
        <v>176575.59999999998</v>
      </c>
      <c r="N13" s="9">
        <v>2207.1949999999997</v>
      </c>
      <c r="O13" s="9">
        <v>174368.40499999997</v>
      </c>
      <c r="P13" s="9">
        <v>2092420.8599999996</v>
      </c>
      <c r="Q13" s="9">
        <v>26486.339999999997</v>
      </c>
      <c r="R13" s="9">
        <v>313863.12899999996</v>
      </c>
      <c r="S13" s="10">
        <v>1778557.7309999997</v>
      </c>
    </row>
    <row r="14" spans="1:19" x14ac:dyDescent="0.3">
      <c r="A14" s="7">
        <v>41</v>
      </c>
      <c r="B14" s="8">
        <v>10041</v>
      </c>
      <c r="C14" s="8" t="s">
        <v>57</v>
      </c>
      <c r="D14" s="8">
        <v>9</v>
      </c>
      <c r="E14" s="8" t="s">
        <v>115</v>
      </c>
      <c r="F14" s="8" t="s">
        <v>117</v>
      </c>
      <c r="G14" s="11">
        <v>122900</v>
      </c>
      <c r="H14" s="11">
        <v>30725</v>
      </c>
      <c r="I14" s="11">
        <v>12290</v>
      </c>
      <c r="J14" s="11">
        <v>15362.5</v>
      </c>
      <c r="K14" s="11">
        <v>7005.3</v>
      </c>
      <c r="L14" s="11">
        <v>3932.8</v>
      </c>
      <c r="M14" s="11">
        <v>192215.59999999998</v>
      </c>
      <c r="N14" s="11">
        <v>2402.6949999999997</v>
      </c>
      <c r="O14" s="11">
        <v>189812.90499999997</v>
      </c>
      <c r="P14" s="11">
        <v>2277754.8599999994</v>
      </c>
      <c r="Q14" s="11">
        <v>28832.339999999997</v>
      </c>
      <c r="R14" s="11">
        <v>341663.22899999988</v>
      </c>
      <c r="S14" s="12">
        <v>1936091.6309999996</v>
      </c>
    </row>
    <row r="15" spans="1:19" x14ac:dyDescent="0.3">
      <c r="A15" s="5">
        <v>44</v>
      </c>
      <c r="B15" s="6">
        <v>10044</v>
      </c>
      <c r="C15" s="6" t="s">
        <v>60</v>
      </c>
      <c r="D15" s="6">
        <v>10</v>
      </c>
      <c r="E15" s="6" t="s">
        <v>115</v>
      </c>
      <c r="F15" s="6" t="s">
        <v>117</v>
      </c>
      <c r="G15" s="9">
        <v>132900</v>
      </c>
      <c r="H15" s="9">
        <v>33225</v>
      </c>
      <c r="I15" s="9">
        <v>13290</v>
      </c>
      <c r="J15" s="9">
        <v>16612.5</v>
      </c>
      <c r="K15" s="9">
        <v>7575.3</v>
      </c>
      <c r="L15" s="9">
        <v>4252.8</v>
      </c>
      <c r="M15" s="9">
        <v>207855.59999999998</v>
      </c>
      <c r="N15" s="9">
        <v>2598.1949999999997</v>
      </c>
      <c r="O15" s="9">
        <v>205257.40499999997</v>
      </c>
      <c r="P15" s="9">
        <v>2463088.8599999994</v>
      </c>
      <c r="Q15" s="9">
        <v>31178.339999999997</v>
      </c>
      <c r="R15" s="9">
        <v>369463.32899999991</v>
      </c>
      <c r="S15" s="10">
        <v>2093625.5309999995</v>
      </c>
    </row>
    <row r="16" spans="1:19" x14ac:dyDescent="0.3">
      <c r="A16" s="7">
        <v>47</v>
      </c>
      <c r="B16" s="8">
        <v>10047</v>
      </c>
      <c r="C16" s="8" t="s">
        <v>28</v>
      </c>
      <c r="D16" s="8">
        <v>11</v>
      </c>
      <c r="E16" s="8" t="s">
        <v>115</v>
      </c>
      <c r="F16" s="8" t="s">
        <v>118</v>
      </c>
      <c r="G16" s="11">
        <v>142900</v>
      </c>
      <c r="H16" s="11">
        <v>35725</v>
      </c>
      <c r="I16" s="11">
        <v>14290</v>
      </c>
      <c r="J16" s="11">
        <v>17862.5</v>
      </c>
      <c r="K16" s="11">
        <v>8145.3</v>
      </c>
      <c r="L16" s="11">
        <v>4572.8</v>
      </c>
      <c r="M16" s="11">
        <v>223495.59999999998</v>
      </c>
      <c r="N16" s="11">
        <v>2793.6949999999997</v>
      </c>
      <c r="O16" s="11">
        <v>220701.90499999997</v>
      </c>
      <c r="P16" s="11">
        <v>2648422.8599999994</v>
      </c>
      <c r="Q16" s="11">
        <v>33524.339999999997</v>
      </c>
      <c r="R16" s="11">
        <v>662105.71499999985</v>
      </c>
      <c r="S16" s="12">
        <v>1986317.1449999996</v>
      </c>
    </row>
    <row r="17" spans="1:19" x14ac:dyDescent="0.3">
      <c r="A17" s="5">
        <v>50</v>
      </c>
      <c r="B17" s="6">
        <v>10050</v>
      </c>
      <c r="C17" s="6" t="s">
        <v>65</v>
      </c>
      <c r="D17" s="6">
        <v>12</v>
      </c>
      <c r="E17" s="6" t="s">
        <v>115</v>
      </c>
      <c r="F17" s="6" t="s">
        <v>118</v>
      </c>
      <c r="G17" s="9">
        <v>152900</v>
      </c>
      <c r="H17" s="9">
        <v>38225</v>
      </c>
      <c r="I17" s="9">
        <v>15290</v>
      </c>
      <c r="J17" s="9">
        <v>19112.5</v>
      </c>
      <c r="K17" s="9">
        <v>8715.3000000000011</v>
      </c>
      <c r="L17" s="9">
        <v>4892.8</v>
      </c>
      <c r="M17" s="9">
        <v>239135.59999999998</v>
      </c>
      <c r="N17" s="9">
        <v>2989.1949999999997</v>
      </c>
      <c r="O17" s="9">
        <v>236146.40499999997</v>
      </c>
      <c r="P17" s="9">
        <v>2833756.8599999994</v>
      </c>
      <c r="Q17" s="9">
        <v>35870.339999999997</v>
      </c>
      <c r="R17" s="9">
        <v>708439.21499999985</v>
      </c>
      <c r="S17" s="10">
        <v>2125317.6449999996</v>
      </c>
    </row>
    <row r="18" spans="1:19" x14ac:dyDescent="0.3">
      <c r="A18" s="7">
        <v>53</v>
      </c>
      <c r="B18" s="8">
        <v>10053</v>
      </c>
      <c r="C18" s="8" t="s">
        <v>29</v>
      </c>
      <c r="D18" s="8">
        <v>7</v>
      </c>
      <c r="E18" s="8" t="s">
        <v>115</v>
      </c>
      <c r="F18" s="8" t="s">
        <v>117</v>
      </c>
      <c r="G18" s="11">
        <v>102900</v>
      </c>
      <c r="H18" s="11">
        <v>25725</v>
      </c>
      <c r="I18" s="11">
        <v>10290</v>
      </c>
      <c r="J18" s="11">
        <v>12862.5</v>
      </c>
      <c r="K18" s="11">
        <v>5865.3</v>
      </c>
      <c r="L18" s="11">
        <v>3292.8</v>
      </c>
      <c r="M18" s="11">
        <v>160935.59999999998</v>
      </c>
      <c r="N18" s="11">
        <v>2011.6949999999997</v>
      </c>
      <c r="O18" s="11">
        <v>158923.90499999997</v>
      </c>
      <c r="P18" s="11">
        <v>1907086.8599999996</v>
      </c>
      <c r="Q18" s="11">
        <v>24140.339999999997</v>
      </c>
      <c r="R18" s="11">
        <v>286063.02899999992</v>
      </c>
      <c r="S18" s="12">
        <v>1621023.8309999998</v>
      </c>
    </row>
    <row r="19" spans="1:19" x14ac:dyDescent="0.3">
      <c r="A19" s="5">
        <v>56</v>
      </c>
      <c r="B19" s="6">
        <v>10056</v>
      </c>
      <c r="C19" s="6" t="s">
        <v>70</v>
      </c>
      <c r="D19" s="6">
        <v>8</v>
      </c>
      <c r="E19" s="6" t="s">
        <v>115</v>
      </c>
      <c r="F19" s="6" t="s">
        <v>117</v>
      </c>
      <c r="G19" s="9">
        <v>112900</v>
      </c>
      <c r="H19" s="9">
        <v>28225</v>
      </c>
      <c r="I19" s="9">
        <v>11290</v>
      </c>
      <c r="J19" s="9">
        <v>14112.5</v>
      </c>
      <c r="K19" s="9">
        <v>6435.3</v>
      </c>
      <c r="L19" s="9">
        <v>3612.8</v>
      </c>
      <c r="M19" s="9">
        <v>176575.59999999998</v>
      </c>
      <c r="N19" s="9">
        <v>2207.1949999999997</v>
      </c>
      <c r="O19" s="9">
        <v>174368.40499999997</v>
      </c>
      <c r="P19" s="9">
        <v>2092420.8599999996</v>
      </c>
      <c r="Q19" s="9">
        <v>26486.339999999997</v>
      </c>
      <c r="R19" s="9">
        <v>313863.12899999996</v>
      </c>
      <c r="S19" s="10">
        <v>1778557.7309999997</v>
      </c>
    </row>
    <row r="20" spans="1:19" x14ac:dyDescent="0.3">
      <c r="A20" s="7">
        <v>59</v>
      </c>
      <c r="B20" s="8">
        <v>10059</v>
      </c>
      <c r="C20" s="8" t="s">
        <v>73</v>
      </c>
      <c r="D20" s="8">
        <v>9</v>
      </c>
      <c r="E20" s="8" t="s">
        <v>115</v>
      </c>
      <c r="F20" s="8" t="s">
        <v>118</v>
      </c>
      <c r="G20" s="11">
        <v>122900</v>
      </c>
      <c r="H20" s="11">
        <v>30725</v>
      </c>
      <c r="I20" s="11">
        <v>12290</v>
      </c>
      <c r="J20" s="11">
        <v>15362.5</v>
      </c>
      <c r="K20" s="11">
        <v>7005.3</v>
      </c>
      <c r="L20" s="11">
        <v>3932.8</v>
      </c>
      <c r="M20" s="11">
        <v>192215.59999999998</v>
      </c>
      <c r="N20" s="11">
        <v>2402.6949999999997</v>
      </c>
      <c r="O20" s="11">
        <v>189812.90499999997</v>
      </c>
      <c r="P20" s="11">
        <v>2277754.8599999994</v>
      </c>
      <c r="Q20" s="11">
        <v>28832.339999999997</v>
      </c>
      <c r="R20" s="11">
        <v>341663.22899999988</v>
      </c>
      <c r="S20" s="12">
        <v>1936091.6309999996</v>
      </c>
    </row>
    <row r="21" spans="1:19" x14ac:dyDescent="0.3">
      <c r="A21" s="5">
        <v>62</v>
      </c>
      <c r="B21" s="6">
        <v>10062</v>
      </c>
      <c r="C21" s="6" t="s">
        <v>76</v>
      </c>
      <c r="D21" s="6">
        <v>10</v>
      </c>
      <c r="E21" s="6" t="s">
        <v>115</v>
      </c>
      <c r="F21" s="6" t="s">
        <v>118</v>
      </c>
      <c r="G21" s="9">
        <v>132900</v>
      </c>
      <c r="H21" s="9">
        <v>33225</v>
      </c>
      <c r="I21" s="9">
        <v>13290</v>
      </c>
      <c r="J21" s="9">
        <v>16612.5</v>
      </c>
      <c r="K21" s="9">
        <v>7575.3</v>
      </c>
      <c r="L21" s="9">
        <v>4252.8</v>
      </c>
      <c r="M21" s="9">
        <v>207855.59999999998</v>
      </c>
      <c r="N21" s="9">
        <v>2598.1949999999997</v>
      </c>
      <c r="O21" s="9">
        <v>205257.40499999997</v>
      </c>
      <c r="P21" s="9">
        <v>2463088.8599999994</v>
      </c>
      <c r="Q21" s="9">
        <v>31178.339999999997</v>
      </c>
      <c r="R21" s="9">
        <v>369463.32899999991</v>
      </c>
      <c r="S21" s="10">
        <v>2093625.5309999995</v>
      </c>
    </row>
    <row r="22" spans="1:19" x14ac:dyDescent="0.3">
      <c r="A22" s="7">
        <v>65</v>
      </c>
      <c r="B22" s="8">
        <v>10065</v>
      </c>
      <c r="C22" s="8" t="s">
        <v>78</v>
      </c>
      <c r="D22" s="8">
        <v>11</v>
      </c>
      <c r="E22" s="8" t="s">
        <v>115</v>
      </c>
      <c r="F22" s="8" t="s">
        <v>117</v>
      </c>
      <c r="G22" s="11">
        <v>142900</v>
      </c>
      <c r="H22" s="11">
        <v>35725</v>
      </c>
      <c r="I22" s="11">
        <v>14290</v>
      </c>
      <c r="J22" s="11">
        <v>17862.5</v>
      </c>
      <c r="K22" s="11">
        <v>8145.3</v>
      </c>
      <c r="L22" s="11">
        <v>4572.8</v>
      </c>
      <c r="M22" s="11">
        <v>223495.59999999998</v>
      </c>
      <c r="N22" s="11">
        <v>2793.6949999999997</v>
      </c>
      <c r="O22" s="11">
        <v>220701.90499999997</v>
      </c>
      <c r="P22" s="11">
        <v>2648422.8599999994</v>
      </c>
      <c r="Q22" s="11">
        <v>33524.339999999997</v>
      </c>
      <c r="R22" s="11">
        <v>662105.71499999985</v>
      </c>
      <c r="S22" s="12">
        <v>1986317.1449999996</v>
      </c>
    </row>
    <row r="23" spans="1:19" x14ac:dyDescent="0.3">
      <c r="A23" s="5">
        <v>68</v>
      </c>
      <c r="B23" s="6">
        <v>10068</v>
      </c>
      <c r="C23" s="6" t="s">
        <v>81</v>
      </c>
      <c r="D23" s="6">
        <v>12</v>
      </c>
      <c r="E23" s="6" t="s">
        <v>115</v>
      </c>
      <c r="F23" s="6" t="s">
        <v>117</v>
      </c>
      <c r="G23" s="9">
        <v>152900</v>
      </c>
      <c r="H23" s="9">
        <v>38225</v>
      </c>
      <c r="I23" s="9">
        <v>15290</v>
      </c>
      <c r="J23" s="9">
        <v>19112.5</v>
      </c>
      <c r="K23" s="9">
        <v>8715.3000000000011</v>
      </c>
      <c r="L23" s="9">
        <v>4892.8</v>
      </c>
      <c r="M23" s="9">
        <v>239135.59999999998</v>
      </c>
      <c r="N23" s="9">
        <v>2989.1949999999997</v>
      </c>
      <c r="O23" s="9">
        <v>236146.40499999997</v>
      </c>
      <c r="P23" s="9">
        <v>2833756.8599999994</v>
      </c>
      <c r="Q23" s="9">
        <v>35870.339999999997</v>
      </c>
      <c r="R23" s="9">
        <v>708439.21499999985</v>
      </c>
      <c r="S23" s="10">
        <v>2125317.6449999996</v>
      </c>
    </row>
    <row r="24" spans="1:19" x14ac:dyDescent="0.3">
      <c r="A24" s="7">
        <v>70</v>
      </c>
      <c r="B24" s="8">
        <v>10070</v>
      </c>
      <c r="C24" s="8" t="s">
        <v>83</v>
      </c>
      <c r="D24" s="8">
        <v>7</v>
      </c>
      <c r="E24" s="8" t="s">
        <v>115</v>
      </c>
      <c r="F24" s="8" t="s">
        <v>120</v>
      </c>
      <c r="G24" s="11">
        <v>102900</v>
      </c>
      <c r="H24" s="11">
        <v>25725</v>
      </c>
      <c r="I24" s="11">
        <v>10290</v>
      </c>
      <c r="J24" s="11">
        <v>12862.5</v>
      </c>
      <c r="K24" s="11">
        <v>5865.3</v>
      </c>
      <c r="L24" s="11">
        <v>3292.8</v>
      </c>
      <c r="M24" s="11">
        <v>160935.59999999998</v>
      </c>
      <c r="N24" s="11">
        <v>2011.6949999999997</v>
      </c>
      <c r="O24" s="11">
        <v>158923.90499999997</v>
      </c>
      <c r="P24" s="11">
        <v>1907086.8599999996</v>
      </c>
      <c r="Q24" s="11">
        <v>24140.339999999997</v>
      </c>
      <c r="R24" s="11">
        <v>286063.02899999992</v>
      </c>
      <c r="S24" s="12">
        <v>1621023.8309999998</v>
      </c>
    </row>
    <row r="25" spans="1:19" x14ac:dyDescent="0.3">
      <c r="A25" s="5">
        <v>73</v>
      </c>
      <c r="B25" s="6">
        <v>10073</v>
      </c>
      <c r="C25" s="6" t="s">
        <v>86</v>
      </c>
      <c r="D25" s="6">
        <v>8</v>
      </c>
      <c r="E25" s="6" t="s">
        <v>115</v>
      </c>
      <c r="F25" s="6" t="s">
        <v>117</v>
      </c>
      <c r="G25" s="9">
        <v>112900</v>
      </c>
      <c r="H25" s="9">
        <v>28225</v>
      </c>
      <c r="I25" s="9">
        <v>11290</v>
      </c>
      <c r="J25" s="9">
        <v>14112.5</v>
      </c>
      <c r="K25" s="9">
        <v>6435.3</v>
      </c>
      <c r="L25" s="9">
        <v>3612.8</v>
      </c>
      <c r="M25" s="9">
        <v>176575.59999999998</v>
      </c>
      <c r="N25" s="9">
        <v>2207.1949999999997</v>
      </c>
      <c r="O25" s="9">
        <v>174368.40499999997</v>
      </c>
      <c r="P25" s="9">
        <v>2092420.8599999996</v>
      </c>
      <c r="Q25" s="9">
        <v>26486.339999999997</v>
      </c>
      <c r="R25" s="9">
        <v>313863.12899999996</v>
      </c>
      <c r="S25" s="10">
        <v>1778557.7309999997</v>
      </c>
    </row>
    <row r="26" spans="1:19" x14ac:dyDescent="0.3">
      <c r="A26" s="7">
        <v>76</v>
      </c>
      <c r="B26" s="8">
        <v>10076</v>
      </c>
      <c r="C26" s="8" t="s">
        <v>89</v>
      </c>
      <c r="D26" s="8">
        <v>9</v>
      </c>
      <c r="E26" s="8" t="s">
        <v>115</v>
      </c>
      <c r="F26" s="8" t="s">
        <v>120</v>
      </c>
      <c r="G26" s="11">
        <v>122900</v>
      </c>
      <c r="H26" s="11">
        <v>30725</v>
      </c>
      <c r="I26" s="11">
        <v>12290</v>
      </c>
      <c r="J26" s="11">
        <v>15362.5</v>
      </c>
      <c r="K26" s="11">
        <v>7005.3</v>
      </c>
      <c r="L26" s="11">
        <v>3932.8</v>
      </c>
      <c r="M26" s="11">
        <v>192215.59999999998</v>
      </c>
      <c r="N26" s="11">
        <v>2402.6949999999997</v>
      </c>
      <c r="O26" s="11">
        <v>189812.90499999997</v>
      </c>
      <c r="P26" s="11">
        <v>2277754.8599999994</v>
      </c>
      <c r="Q26" s="11">
        <v>28832.339999999997</v>
      </c>
      <c r="R26" s="11">
        <v>341663.22899999988</v>
      </c>
      <c r="S26" s="12">
        <v>1936091.6309999996</v>
      </c>
    </row>
    <row r="27" spans="1:19" x14ac:dyDescent="0.3">
      <c r="A27" s="5">
        <v>79</v>
      </c>
      <c r="B27" s="6">
        <v>10079</v>
      </c>
      <c r="C27" s="6" t="s">
        <v>92</v>
      </c>
      <c r="D27" s="6">
        <v>10</v>
      </c>
      <c r="E27" s="6" t="s">
        <v>115</v>
      </c>
      <c r="F27" s="6" t="s">
        <v>120</v>
      </c>
      <c r="G27" s="9">
        <v>132900</v>
      </c>
      <c r="H27" s="9">
        <v>33225</v>
      </c>
      <c r="I27" s="9">
        <v>13290</v>
      </c>
      <c r="J27" s="9">
        <v>16612.5</v>
      </c>
      <c r="K27" s="9">
        <v>7575.3</v>
      </c>
      <c r="L27" s="9">
        <v>4252.8</v>
      </c>
      <c r="M27" s="9">
        <v>207855.59999999998</v>
      </c>
      <c r="N27" s="9">
        <v>2598.1949999999997</v>
      </c>
      <c r="O27" s="9">
        <v>205257.40499999997</v>
      </c>
      <c r="P27" s="9">
        <v>2463088.8599999994</v>
      </c>
      <c r="Q27" s="9">
        <v>31178.339999999997</v>
      </c>
      <c r="R27" s="9">
        <v>369463.32899999991</v>
      </c>
      <c r="S27" s="10">
        <v>2093625.5309999995</v>
      </c>
    </row>
    <row r="28" spans="1:19" x14ac:dyDescent="0.3">
      <c r="A28" s="7">
        <v>82</v>
      </c>
      <c r="B28" s="8">
        <v>10082</v>
      </c>
      <c r="C28" s="8" t="s">
        <v>95</v>
      </c>
      <c r="D28" s="8">
        <v>11</v>
      </c>
      <c r="E28" s="8" t="s">
        <v>115</v>
      </c>
      <c r="F28" s="8" t="s">
        <v>120</v>
      </c>
      <c r="G28" s="11">
        <v>142900</v>
      </c>
      <c r="H28" s="11">
        <v>35725</v>
      </c>
      <c r="I28" s="11">
        <v>14290</v>
      </c>
      <c r="J28" s="11">
        <v>17862.5</v>
      </c>
      <c r="K28" s="11">
        <v>8145.3</v>
      </c>
      <c r="L28" s="11">
        <v>4572.8</v>
      </c>
      <c r="M28" s="11">
        <v>223495.59999999998</v>
      </c>
      <c r="N28" s="11">
        <v>2793.6949999999997</v>
      </c>
      <c r="O28" s="11">
        <v>220701.90499999997</v>
      </c>
      <c r="P28" s="11">
        <v>2648422.8599999994</v>
      </c>
      <c r="Q28" s="11">
        <v>33524.339999999997</v>
      </c>
      <c r="R28" s="11">
        <v>662105.71499999985</v>
      </c>
      <c r="S28" s="12">
        <v>1986317.1449999996</v>
      </c>
    </row>
    <row r="29" spans="1:19" x14ac:dyDescent="0.3">
      <c r="A29" s="5">
        <v>85</v>
      </c>
      <c r="B29" s="6">
        <v>10085</v>
      </c>
      <c r="C29" s="6" t="s">
        <v>98</v>
      </c>
      <c r="D29" s="6">
        <v>12</v>
      </c>
      <c r="E29" s="6" t="s">
        <v>115</v>
      </c>
      <c r="F29" s="6" t="s">
        <v>117</v>
      </c>
      <c r="G29" s="9">
        <v>152900</v>
      </c>
      <c r="H29" s="9">
        <v>38225</v>
      </c>
      <c r="I29" s="9">
        <v>15290</v>
      </c>
      <c r="J29" s="9">
        <v>19112.5</v>
      </c>
      <c r="K29" s="9">
        <v>8715.3000000000011</v>
      </c>
      <c r="L29" s="9">
        <v>4892.8</v>
      </c>
      <c r="M29" s="9">
        <v>239135.59999999998</v>
      </c>
      <c r="N29" s="9">
        <v>2989.1949999999997</v>
      </c>
      <c r="O29" s="9">
        <v>236146.40499999997</v>
      </c>
      <c r="P29" s="9">
        <v>2833756.8599999994</v>
      </c>
      <c r="Q29" s="9">
        <v>35870.339999999997</v>
      </c>
      <c r="R29" s="9">
        <v>708439.21499999985</v>
      </c>
      <c r="S29" s="10">
        <v>2125317.6449999996</v>
      </c>
    </row>
    <row r="30" spans="1:19" x14ac:dyDescent="0.3">
      <c r="A30" s="7">
        <v>87</v>
      </c>
      <c r="B30" s="8">
        <v>10087</v>
      </c>
      <c r="C30" s="8" t="s">
        <v>100</v>
      </c>
      <c r="D30" s="8">
        <v>7</v>
      </c>
      <c r="E30" s="8" t="s">
        <v>115</v>
      </c>
      <c r="F30" s="8" t="s">
        <v>119</v>
      </c>
      <c r="G30" s="11">
        <v>102900</v>
      </c>
      <c r="H30" s="11">
        <v>25725</v>
      </c>
      <c r="I30" s="11">
        <v>10290</v>
      </c>
      <c r="J30" s="11">
        <v>12862.5</v>
      </c>
      <c r="K30" s="11">
        <v>5865.3</v>
      </c>
      <c r="L30" s="11">
        <v>3292.8</v>
      </c>
      <c r="M30" s="11">
        <v>160935.59999999998</v>
      </c>
      <c r="N30" s="11">
        <v>2011.6949999999997</v>
      </c>
      <c r="O30" s="11">
        <v>158923.90499999997</v>
      </c>
      <c r="P30" s="11">
        <v>1907086.8599999996</v>
      </c>
      <c r="Q30" s="11">
        <v>24140.339999999997</v>
      </c>
      <c r="R30" s="11">
        <v>286063.02899999992</v>
      </c>
      <c r="S30" s="12">
        <v>1621023.8309999998</v>
      </c>
    </row>
    <row r="31" spans="1:19" x14ac:dyDescent="0.3">
      <c r="A31" s="5">
        <v>90</v>
      </c>
      <c r="B31" s="6">
        <v>10090</v>
      </c>
      <c r="C31" s="6" t="s">
        <v>103</v>
      </c>
      <c r="D31" s="6">
        <v>8</v>
      </c>
      <c r="E31" s="6" t="s">
        <v>115</v>
      </c>
      <c r="F31" s="6" t="s">
        <v>118</v>
      </c>
      <c r="G31" s="9">
        <v>112900</v>
      </c>
      <c r="H31" s="9">
        <v>28225</v>
      </c>
      <c r="I31" s="9">
        <v>11290</v>
      </c>
      <c r="J31" s="9">
        <v>14112.5</v>
      </c>
      <c r="K31" s="9">
        <v>6435.3</v>
      </c>
      <c r="L31" s="9">
        <v>3612.8</v>
      </c>
      <c r="M31" s="9">
        <v>176575.59999999998</v>
      </c>
      <c r="N31" s="9">
        <v>2207.1949999999997</v>
      </c>
      <c r="O31" s="9">
        <v>174368.40499999997</v>
      </c>
      <c r="P31" s="9">
        <v>2092420.8599999996</v>
      </c>
      <c r="Q31" s="9">
        <v>26486.339999999997</v>
      </c>
      <c r="R31" s="9">
        <v>313863.12899999996</v>
      </c>
      <c r="S31" s="10">
        <v>1778557.7309999997</v>
      </c>
    </row>
    <row r="32" spans="1:19" x14ac:dyDescent="0.3">
      <c r="A32" s="7">
        <v>93</v>
      </c>
      <c r="B32" s="8">
        <v>10093</v>
      </c>
      <c r="C32" s="8" t="s">
        <v>106</v>
      </c>
      <c r="D32" s="8">
        <v>9</v>
      </c>
      <c r="E32" s="8" t="s">
        <v>115</v>
      </c>
      <c r="F32" s="8" t="s">
        <v>118</v>
      </c>
      <c r="G32" s="11">
        <v>122900</v>
      </c>
      <c r="H32" s="11">
        <v>30725</v>
      </c>
      <c r="I32" s="11">
        <v>12290</v>
      </c>
      <c r="J32" s="11">
        <v>15362.5</v>
      </c>
      <c r="K32" s="11">
        <v>7005.3</v>
      </c>
      <c r="L32" s="11">
        <v>3932.8</v>
      </c>
      <c r="M32" s="11">
        <v>192215.59999999998</v>
      </c>
      <c r="N32" s="11">
        <v>2402.6949999999997</v>
      </c>
      <c r="O32" s="11">
        <v>189812.90499999997</v>
      </c>
      <c r="P32" s="11">
        <v>2277754.8599999994</v>
      </c>
      <c r="Q32" s="11">
        <v>28832.339999999997</v>
      </c>
      <c r="R32" s="11">
        <v>341663.22899999988</v>
      </c>
      <c r="S32" s="12">
        <v>1936091.6309999996</v>
      </c>
    </row>
    <row r="33" spans="1:19" x14ac:dyDescent="0.3">
      <c r="A33" s="5">
        <v>96</v>
      </c>
      <c r="B33" s="6">
        <v>10096</v>
      </c>
      <c r="C33" s="6" t="s">
        <v>109</v>
      </c>
      <c r="D33" s="6">
        <v>10</v>
      </c>
      <c r="E33" s="6" t="s">
        <v>115</v>
      </c>
      <c r="F33" s="6" t="s">
        <v>117</v>
      </c>
      <c r="G33" s="9">
        <v>132900</v>
      </c>
      <c r="H33" s="9">
        <v>33225</v>
      </c>
      <c r="I33" s="9">
        <v>13290</v>
      </c>
      <c r="J33" s="9">
        <v>16612.5</v>
      </c>
      <c r="K33" s="9">
        <v>7575.3</v>
      </c>
      <c r="L33" s="9">
        <v>4252.8</v>
      </c>
      <c r="M33" s="9">
        <v>207855.59999999998</v>
      </c>
      <c r="N33" s="9">
        <v>2598.1949999999997</v>
      </c>
      <c r="O33" s="9">
        <v>205257.40499999997</v>
      </c>
      <c r="P33" s="9">
        <v>2463088.8599999994</v>
      </c>
      <c r="Q33" s="9">
        <v>31178.339999999997</v>
      </c>
      <c r="R33" s="9">
        <v>369463.32899999991</v>
      </c>
      <c r="S33" s="10">
        <v>2093625.5309999995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2173-7FDE-47A9-86A2-805AB41BA7CB}">
  <dimension ref="A1:S33"/>
  <sheetViews>
    <sheetView workbookViewId="0">
      <selection sqref="A1:S33"/>
    </sheetView>
  </sheetViews>
  <sheetFormatPr defaultRowHeight="14.4" x14ac:dyDescent="0.3"/>
  <sheetData>
    <row r="1" spans="1:19" x14ac:dyDescent="0.3">
      <c r="A1" s="5">
        <v>1</v>
      </c>
      <c r="B1" s="6">
        <v>10001</v>
      </c>
      <c r="C1" s="6" t="s">
        <v>18</v>
      </c>
      <c r="D1" s="6">
        <v>1</v>
      </c>
      <c r="E1" s="6" t="s">
        <v>114</v>
      </c>
      <c r="F1" s="6" t="s">
        <v>117</v>
      </c>
      <c r="G1" s="9">
        <v>70000</v>
      </c>
      <c r="H1" s="9">
        <v>17500</v>
      </c>
      <c r="I1" s="9">
        <v>7000</v>
      </c>
      <c r="J1" s="9">
        <v>8750</v>
      </c>
      <c r="K1" s="9">
        <v>3990</v>
      </c>
      <c r="L1" s="9">
        <v>2240</v>
      </c>
      <c r="M1" s="9">
        <v>109480</v>
      </c>
      <c r="N1" s="9">
        <v>1368.5</v>
      </c>
      <c r="O1" s="9">
        <v>108111.5</v>
      </c>
      <c r="P1" s="9">
        <v>1297338</v>
      </c>
      <c r="Q1" s="9">
        <v>16422</v>
      </c>
      <c r="R1" s="9">
        <v>194600.69999999998</v>
      </c>
      <c r="S1" s="10">
        <v>1102737.3</v>
      </c>
    </row>
    <row r="2" spans="1:19" x14ac:dyDescent="0.3">
      <c r="A2" s="7">
        <v>4</v>
      </c>
      <c r="B2" s="8">
        <v>10004</v>
      </c>
      <c r="C2" s="8" t="s">
        <v>21</v>
      </c>
      <c r="D2" s="8">
        <v>2</v>
      </c>
      <c r="E2" s="8" t="s">
        <v>114</v>
      </c>
      <c r="F2" s="8" t="s">
        <v>120</v>
      </c>
      <c r="G2" s="11">
        <v>75000</v>
      </c>
      <c r="H2" s="11">
        <v>18750</v>
      </c>
      <c r="I2" s="11">
        <v>7500</v>
      </c>
      <c r="J2" s="11">
        <v>9375</v>
      </c>
      <c r="K2" s="11">
        <v>4275</v>
      </c>
      <c r="L2" s="11">
        <v>2400</v>
      </c>
      <c r="M2" s="11">
        <v>117300</v>
      </c>
      <c r="N2" s="11">
        <v>1466.25</v>
      </c>
      <c r="O2" s="11">
        <v>115833.75</v>
      </c>
      <c r="P2" s="11">
        <v>1390005</v>
      </c>
      <c r="Q2" s="11">
        <v>17595</v>
      </c>
      <c r="R2" s="11">
        <v>208500.75</v>
      </c>
      <c r="S2" s="12">
        <v>1181504.25</v>
      </c>
    </row>
    <row r="3" spans="1:19" x14ac:dyDescent="0.3">
      <c r="A3" s="5">
        <v>7</v>
      </c>
      <c r="B3" s="6">
        <v>10007</v>
      </c>
      <c r="C3" s="6" t="s">
        <v>24</v>
      </c>
      <c r="D3" s="6">
        <v>3</v>
      </c>
      <c r="E3" s="6" t="s">
        <v>114</v>
      </c>
      <c r="F3" s="6" t="s">
        <v>120</v>
      </c>
      <c r="G3" s="9">
        <v>80000</v>
      </c>
      <c r="H3" s="9">
        <v>20000</v>
      </c>
      <c r="I3" s="9">
        <v>8000</v>
      </c>
      <c r="J3" s="9">
        <v>10000</v>
      </c>
      <c r="K3" s="9">
        <v>4560</v>
      </c>
      <c r="L3" s="9">
        <v>2560</v>
      </c>
      <c r="M3" s="9">
        <v>125120</v>
      </c>
      <c r="N3" s="9">
        <v>1564</v>
      </c>
      <c r="O3" s="9">
        <v>123556</v>
      </c>
      <c r="P3" s="9">
        <v>1482672</v>
      </c>
      <c r="Q3" s="9">
        <v>18768</v>
      </c>
      <c r="R3" s="9">
        <v>222400.8</v>
      </c>
      <c r="S3" s="10">
        <v>1260271.2</v>
      </c>
    </row>
    <row r="4" spans="1:19" x14ac:dyDescent="0.3">
      <c r="A4" s="7">
        <v>10</v>
      </c>
      <c r="B4" s="8">
        <v>10010</v>
      </c>
      <c r="C4" s="8" t="s">
        <v>27</v>
      </c>
      <c r="D4" s="8">
        <v>4</v>
      </c>
      <c r="E4" s="8" t="s">
        <v>114</v>
      </c>
      <c r="F4" s="8" t="s">
        <v>120</v>
      </c>
      <c r="G4" s="11">
        <v>85000</v>
      </c>
      <c r="H4" s="11">
        <v>21250</v>
      </c>
      <c r="I4" s="11">
        <v>8500</v>
      </c>
      <c r="J4" s="11">
        <v>10625</v>
      </c>
      <c r="K4" s="11">
        <v>4845</v>
      </c>
      <c r="L4" s="11">
        <v>2720</v>
      </c>
      <c r="M4" s="11">
        <v>132940</v>
      </c>
      <c r="N4" s="11">
        <v>1661.75</v>
      </c>
      <c r="O4" s="11">
        <v>131278.25</v>
      </c>
      <c r="P4" s="11">
        <v>1575339</v>
      </c>
      <c r="Q4" s="11">
        <v>19941</v>
      </c>
      <c r="R4" s="11">
        <v>236300.84999999998</v>
      </c>
      <c r="S4" s="12">
        <v>1339038.1499999999</v>
      </c>
    </row>
    <row r="5" spans="1:19" x14ac:dyDescent="0.3">
      <c r="A5" s="5">
        <v>13</v>
      </c>
      <c r="B5" s="6">
        <v>10013</v>
      </c>
      <c r="C5" s="6" t="s">
        <v>30</v>
      </c>
      <c r="D5" s="6">
        <v>5</v>
      </c>
      <c r="E5" s="6" t="s">
        <v>114</v>
      </c>
      <c r="F5" s="6" t="s">
        <v>117</v>
      </c>
      <c r="G5" s="9">
        <v>90000</v>
      </c>
      <c r="H5" s="9">
        <v>22500</v>
      </c>
      <c r="I5" s="9">
        <v>9000</v>
      </c>
      <c r="J5" s="9">
        <v>11250</v>
      </c>
      <c r="K5" s="9">
        <v>5130</v>
      </c>
      <c r="L5" s="9">
        <v>2880</v>
      </c>
      <c r="M5" s="9">
        <v>140760</v>
      </c>
      <c r="N5" s="9">
        <v>1759.5</v>
      </c>
      <c r="O5" s="9">
        <v>139000.5</v>
      </c>
      <c r="P5" s="9">
        <v>1668006</v>
      </c>
      <c r="Q5" s="9">
        <v>21114</v>
      </c>
      <c r="R5" s="9">
        <v>250200.9</v>
      </c>
      <c r="S5" s="10">
        <v>1417805.1</v>
      </c>
    </row>
    <row r="6" spans="1:19" x14ac:dyDescent="0.3">
      <c r="A6" s="7">
        <v>16</v>
      </c>
      <c r="B6" s="8">
        <v>10016</v>
      </c>
      <c r="C6" s="8" t="s">
        <v>33</v>
      </c>
      <c r="D6" s="8">
        <v>6</v>
      </c>
      <c r="E6" s="8" t="s">
        <v>114</v>
      </c>
      <c r="F6" s="8" t="s">
        <v>120</v>
      </c>
      <c r="G6" s="11">
        <v>95000</v>
      </c>
      <c r="H6" s="11">
        <v>23750</v>
      </c>
      <c r="I6" s="11">
        <v>9500</v>
      </c>
      <c r="J6" s="11">
        <v>11875</v>
      </c>
      <c r="K6" s="11">
        <v>5415</v>
      </c>
      <c r="L6" s="11">
        <v>3040</v>
      </c>
      <c r="M6" s="11">
        <v>148580</v>
      </c>
      <c r="N6" s="11">
        <v>1857.25</v>
      </c>
      <c r="O6" s="11">
        <v>146722.75</v>
      </c>
      <c r="P6" s="11">
        <v>1760673</v>
      </c>
      <c r="Q6" s="11">
        <v>22287</v>
      </c>
      <c r="R6" s="11">
        <v>264100.95</v>
      </c>
      <c r="S6" s="12">
        <v>1496572.05</v>
      </c>
    </row>
    <row r="7" spans="1:19" x14ac:dyDescent="0.3">
      <c r="A7" s="5">
        <v>19</v>
      </c>
      <c r="B7" s="6">
        <v>10019</v>
      </c>
      <c r="C7" s="6" t="s">
        <v>35</v>
      </c>
      <c r="D7" s="6">
        <v>2</v>
      </c>
      <c r="E7" s="6" t="s">
        <v>114</v>
      </c>
      <c r="F7" s="6" t="s">
        <v>120</v>
      </c>
      <c r="G7" s="9">
        <v>75000</v>
      </c>
      <c r="H7" s="9">
        <v>18750</v>
      </c>
      <c r="I7" s="9">
        <v>7500</v>
      </c>
      <c r="J7" s="9">
        <v>9375</v>
      </c>
      <c r="K7" s="9">
        <v>4275</v>
      </c>
      <c r="L7" s="9">
        <v>2400</v>
      </c>
      <c r="M7" s="9">
        <v>117300</v>
      </c>
      <c r="N7" s="9">
        <v>1466.25</v>
      </c>
      <c r="O7" s="9">
        <v>115833.75</v>
      </c>
      <c r="P7" s="9">
        <v>1390005</v>
      </c>
      <c r="Q7" s="9">
        <v>17595</v>
      </c>
      <c r="R7" s="9">
        <v>208500.75</v>
      </c>
      <c r="S7" s="10">
        <v>1181504.25</v>
      </c>
    </row>
    <row r="8" spans="1:19" x14ac:dyDescent="0.3">
      <c r="A8" s="7">
        <v>22</v>
      </c>
      <c r="B8" s="8">
        <v>10022</v>
      </c>
      <c r="C8" s="8" t="s">
        <v>38</v>
      </c>
      <c r="D8" s="8">
        <v>3</v>
      </c>
      <c r="E8" s="8" t="s">
        <v>114</v>
      </c>
      <c r="F8" s="8" t="s">
        <v>120</v>
      </c>
      <c r="G8" s="11">
        <v>80000</v>
      </c>
      <c r="H8" s="11">
        <v>20000</v>
      </c>
      <c r="I8" s="11">
        <v>8000</v>
      </c>
      <c r="J8" s="11">
        <v>10000</v>
      </c>
      <c r="K8" s="11">
        <v>4560</v>
      </c>
      <c r="L8" s="11">
        <v>2560</v>
      </c>
      <c r="M8" s="11">
        <v>125120</v>
      </c>
      <c r="N8" s="11">
        <v>1564</v>
      </c>
      <c r="O8" s="11">
        <v>123556</v>
      </c>
      <c r="P8" s="11">
        <v>1482672</v>
      </c>
      <c r="Q8" s="11">
        <v>18768</v>
      </c>
      <c r="R8" s="11">
        <v>222400.8</v>
      </c>
      <c r="S8" s="12">
        <v>1260271.2</v>
      </c>
    </row>
    <row r="9" spans="1:19" x14ac:dyDescent="0.3">
      <c r="A9" s="5">
        <v>25</v>
      </c>
      <c r="B9" s="6">
        <v>10025</v>
      </c>
      <c r="C9" s="6" t="s">
        <v>41</v>
      </c>
      <c r="D9" s="6">
        <v>4</v>
      </c>
      <c r="E9" s="6" t="s">
        <v>114</v>
      </c>
      <c r="F9" s="6" t="s">
        <v>117</v>
      </c>
      <c r="G9" s="9">
        <v>85000</v>
      </c>
      <c r="H9" s="9">
        <v>21250</v>
      </c>
      <c r="I9" s="9">
        <v>8500</v>
      </c>
      <c r="J9" s="9">
        <v>10625</v>
      </c>
      <c r="K9" s="9">
        <v>4845</v>
      </c>
      <c r="L9" s="9">
        <v>2720</v>
      </c>
      <c r="M9" s="9">
        <v>132940</v>
      </c>
      <c r="N9" s="9">
        <v>1661.75</v>
      </c>
      <c r="O9" s="9">
        <v>131278.25</v>
      </c>
      <c r="P9" s="9">
        <v>1575339</v>
      </c>
      <c r="Q9" s="9">
        <v>19941</v>
      </c>
      <c r="R9" s="9">
        <v>236300.84999999998</v>
      </c>
      <c r="S9" s="10">
        <v>1339038.1499999999</v>
      </c>
    </row>
    <row r="10" spans="1:19" x14ac:dyDescent="0.3">
      <c r="A10" s="7">
        <v>28</v>
      </c>
      <c r="B10" s="8">
        <v>10028</v>
      </c>
      <c r="C10" s="8" t="s">
        <v>44</v>
      </c>
      <c r="D10" s="8">
        <v>5</v>
      </c>
      <c r="E10" s="8" t="s">
        <v>114</v>
      </c>
      <c r="F10" s="8" t="s">
        <v>120</v>
      </c>
      <c r="G10" s="11">
        <v>90000</v>
      </c>
      <c r="H10" s="11">
        <v>22500</v>
      </c>
      <c r="I10" s="11">
        <v>9000</v>
      </c>
      <c r="J10" s="11">
        <v>11250</v>
      </c>
      <c r="K10" s="11">
        <v>5130</v>
      </c>
      <c r="L10" s="11">
        <v>2880</v>
      </c>
      <c r="M10" s="11">
        <v>140760</v>
      </c>
      <c r="N10" s="11">
        <v>1759.5</v>
      </c>
      <c r="O10" s="11">
        <v>139000.5</v>
      </c>
      <c r="P10" s="11">
        <v>1668006</v>
      </c>
      <c r="Q10" s="11">
        <v>21114</v>
      </c>
      <c r="R10" s="11">
        <v>250200.9</v>
      </c>
      <c r="S10" s="12">
        <v>1417805.1</v>
      </c>
    </row>
    <row r="11" spans="1:19" x14ac:dyDescent="0.3">
      <c r="A11" s="5">
        <v>31</v>
      </c>
      <c r="B11" s="6">
        <v>10031</v>
      </c>
      <c r="C11" s="6" t="s">
        <v>47</v>
      </c>
      <c r="D11" s="6">
        <v>6</v>
      </c>
      <c r="E11" s="6" t="s">
        <v>114</v>
      </c>
      <c r="F11" s="6" t="s">
        <v>120</v>
      </c>
      <c r="G11" s="9">
        <v>95000</v>
      </c>
      <c r="H11" s="9">
        <v>23750</v>
      </c>
      <c r="I11" s="9">
        <v>9500</v>
      </c>
      <c r="J11" s="9">
        <v>11875</v>
      </c>
      <c r="K11" s="9">
        <v>5415</v>
      </c>
      <c r="L11" s="9">
        <v>3040</v>
      </c>
      <c r="M11" s="9">
        <v>148580</v>
      </c>
      <c r="N11" s="9">
        <v>1857.25</v>
      </c>
      <c r="O11" s="9">
        <v>146722.75</v>
      </c>
      <c r="P11" s="9">
        <v>1760673</v>
      </c>
      <c r="Q11" s="9">
        <v>22287</v>
      </c>
      <c r="R11" s="9">
        <v>264100.95</v>
      </c>
      <c r="S11" s="10">
        <v>1496572.05</v>
      </c>
    </row>
    <row r="12" spans="1:19" x14ac:dyDescent="0.3">
      <c r="A12" s="7">
        <v>34</v>
      </c>
      <c r="B12" s="8">
        <v>10034</v>
      </c>
      <c r="C12" s="8" t="s">
        <v>50</v>
      </c>
      <c r="D12" s="8">
        <v>1</v>
      </c>
      <c r="E12" s="8" t="s">
        <v>114</v>
      </c>
      <c r="F12" s="8" t="s">
        <v>120</v>
      </c>
      <c r="G12" s="11">
        <v>70000</v>
      </c>
      <c r="H12" s="11">
        <v>17500</v>
      </c>
      <c r="I12" s="11">
        <v>7000</v>
      </c>
      <c r="J12" s="11">
        <v>8750</v>
      </c>
      <c r="K12" s="11">
        <v>3990</v>
      </c>
      <c r="L12" s="11">
        <v>2240</v>
      </c>
      <c r="M12" s="11">
        <v>109480</v>
      </c>
      <c r="N12" s="11">
        <v>1368.5</v>
      </c>
      <c r="O12" s="11">
        <v>108111.5</v>
      </c>
      <c r="P12" s="11">
        <v>1297338</v>
      </c>
      <c r="Q12" s="11">
        <v>16422</v>
      </c>
      <c r="R12" s="11">
        <v>194600.69999999998</v>
      </c>
      <c r="S12" s="12">
        <v>1102737.3</v>
      </c>
    </row>
    <row r="13" spans="1:19" x14ac:dyDescent="0.3">
      <c r="A13" s="5">
        <v>37</v>
      </c>
      <c r="B13" s="6">
        <v>10037</v>
      </c>
      <c r="C13" s="6" t="s">
        <v>53</v>
      </c>
      <c r="D13" s="6">
        <v>2</v>
      </c>
      <c r="E13" s="6" t="s">
        <v>114</v>
      </c>
      <c r="F13" s="6" t="s">
        <v>117</v>
      </c>
      <c r="G13" s="9">
        <v>75000</v>
      </c>
      <c r="H13" s="9">
        <v>18750</v>
      </c>
      <c r="I13" s="9">
        <v>7500</v>
      </c>
      <c r="J13" s="9">
        <v>9375</v>
      </c>
      <c r="K13" s="9">
        <v>4275</v>
      </c>
      <c r="L13" s="9">
        <v>2400</v>
      </c>
      <c r="M13" s="9">
        <v>117300</v>
      </c>
      <c r="N13" s="9">
        <v>1466.25</v>
      </c>
      <c r="O13" s="9">
        <v>115833.75</v>
      </c>
      <c r="P13" s="9">
        <v>1390005</v>
      </c>
      <c r="Q13" s="9">
        <v>17595</v>
      </c>
      <c r="R13" s="9">
        <v>208500.75</v>
      </c>
      <c r="S13" s="10">
        <v>1181504.25</v>
      </c>
    </row>
    <row r="14" spans="1:19" x14ac:dyDescent="0.3">
      <c r="A14" s="7">
        <v>40</v>
      </c>
      <c r="B14" s="8">
        <v>10040</v>
      </c>
      <c r="C14" s="8" t="s">
        <v>56</v>
      </c>
      <c r="D14" s="8">
        <v>3</v>
      </c>
      <c r="E14" s="8" t="s">
        <v>114</v>
      </c>
      <c r="F14" s="8" t="s">
        <v>120</v>
      </c>
      <c r="G14" s="11">
        <v>80000</v>
      </c>
      <c r="H14" s="11">
        <v>20000</v>
      </c>
      <c r="I14" s="11">
        <v>8000</v>
      </c>
      <c r="J14" s="11">
        <v>10000</v>
      </c>
      <c r="K14" s="11">
        <v>4560</v>
      </c>
      <c r="L14" s="11">
        <v>2560</v>
      </c>
      <c r="M14" s="11">
        <v>125120</v>
      </c>
      <c r="N14" s="11">
        <v>1564</v>
      </c>
      <c r="O14" s="11">
        <v>123556</v>
      </c>
      <c r="P14" s="11">
        <v>1482672</v>
      </c>
      <c r="Q14" s="11">
        <v>18768</v>
      </c>
      <c r="R14" s="11">
        <v>222400.8</v>
      </c>
      <c r="S14" s="12">
        <v>1260271.2</v>
      </c>
    </row>
    <row r="15" spans="1:19" x14ac:dyDescent="0.3">
      <c r="A15" s="5">
        <v>43</v>
      </c>
      <c r="B15" s="6">
        <v>10043</v>
      </c>
      <c r="C15" s="6" t="s">
        <v>59</v>
      </c>
      <c r="D15" s="6">
        <v>4</v>
      </c>
      <c r="E15" s="6" t="s">
        <v>114</v>
      </c>
      <c r="F15" s="6" t="s">
        <v>120</v>
      </c>
      <c r="G15" s="9">
        <v>85000</v>
      </c>
      <c r="H15" s="9">
        <v>21250</v>
      </c>
      <c r="I15" s="9">
        <v>8500</v>
      </c>
      <c r="J15" s="9">
        <v>10625</v>
      </c>
      <c r="K15" s="9">
        <v>4845</v>
      </c>
      <c r="L15" s="9">
        <v>2720</v>
      </c>
      <c r="M15" s="9">
        <v>132940</v>
      </c>
      <c r="N15" s="9">
        <v>1661.75</v>
      </c>
      <c r="O15" s="9">
        <v>131278.25</v>
      </c>
      <c r="P15" s="9">
        <v>1575339</v>
      </c>
      <c r="Q15" s="9">
        <v>19941</v>
      </c>
      <c r="R15" s="9">
        <v>236300.84999999998</v>
      </c>
      <c r="S15" s="10">
        <v>1339038.1499999999</v>
      </c>
    </row>
    <row r="16" spans="1:19" x14ac:dyDescent="0.3">
      <c r="A16" s="7">
        <v>46</v>
      </c>
      <c r="B16" s="8">
        <v>10046</v>
      </c>
      <c r="C16" s="8" t="s">
        <v>62</v>
      </c>
      <c r="D16" s="8">
        <v>5</v>
      </c>
      <c r="E16" s="8" t="s">
        <v>114</v>
      </c>
      <c r="F16" s="8" t="s">
        <v>120</v>
      </c>
      <c r="G16" s="11">
        <v>90000</v>
      </c>
      <c r="H16" s="11">
        <v>22500</v>
      </c>
      <c r="I16" s="11">
        <v>9000</v>
      </c>
      <c r="J16" s="11">
        <v>11250</v>
      </c>
      <c r="K16" s="11">
        <v>5130</v>
      </c>
      <c r="L16" s="11">
        <v>2880</v>
      </c>
      <c r="M16" s="11">
        <v>140760</v>
      </c>
      <c r="N16" s="11">
        <v>1759.5</v>
      </c>
      <c r="O16" s="11">
        <v>139000.5</v>
      </c>
      <c r="P16" s="11">
        <v>1668006</v>
      </c>
      <c r="Q16" s="11">
        <v>21114</v>
      </c>
      <c r="R16" s="11">
        <v>250200.9</v>
      </c>
      <c r="S16" s="12">
        <v>1417805.1</v>
      </c>
    </row>
    <row r="17" spans="1:19" x14ac:dyDescent="0.3">
      <c r="A17" s="5">
        <v>49</v>
      </c>
      <c r="B17" s="6">
        <v>10049</v>
      </c>
      <c r="C17" s="6" t="s">
        <v>64</v>
      </c>
      <c r="D17" s="6">
        <v>6</v>
      </c>
      <c r="E17" s="6" t="s">
        <v>114</v>
      </c>
      <c r="F17" s="6" t="s">
        <v>117</v>
      </c>
      <c r="G17" s="9">
        <v>95000</v>
      </c>
      <c r="H17" s="9">
        <v>23750</v>
      </c>
      <c r="I17" s="9">
        <v>9500</v>
      </c>
      <c r="J17" s="9">
        <v>11875</v>
      </c>
      <c r="K17" s="9">
        <v>5415</v>
      </c>
      <c r="L17" s="9">
        <v>3040</v>
      </c>
      <c r="M17" s="9">
        <v>148580</v>
      </c>
      <c r="N17" s="9">
        <v>1857.25</v>
      </c>
      <c r="O17" s="9">
        <v>146722.75</v>
      </c>
      <c r="P17" s="9">
        <v>1760673</v>
      </c>
      <c r="Q17" s="9">
        <v>22287</v>
      </c>
      <c r="R17" s="9">
        <v>264100.95</v>
      </c>
      <c r="S17" s="10">
        <v>1496572.05</v>
      </c>
    </row>
    <row r="18" spans="1:19" x14ac:dyDescent="0.3">
      <c r="A18" s="7">
        <v>52</v>
      </c>
      <c r="B18" s="8">
        <v>10052</v>
      </c>
      <c r="C18" s="8" t="s">
        <v>67</v>
      </c>
      <c r="D18" s="8">
        <v>1</v>
      </c>
      <c r="E18" s="8" t="s">
        <v>114</v>
      </c>
      <c r="F18" s="8" t="s">
        <v>120</v>
      </c>
      <c r="G18" s="11">
        <v>70000</v>
      </c>
      <c r="H18" s="11">
        <v>17500</v>
      </c>
      <c r="I18" s="11">
        <v>7000</v>
      </c>
      <c r="J18" s="11">
        <v>8750</v>
      </c>
      <c r="K18" s="11">
        <v>3990</v>
      </c>
      <c r="L18" s="11">
        <v>2240</v>
      </c>
      <c r="M18" s="11">
        <v>109480</v>
      </c>
      <c r="N18" s="11">
        <v>1368.5</v>
      </c>
      <c r="O18" s="11">
        <v>108111.5</v>
      </c>
      <c r="P18" s="11">
        <v>1297338</v>
      </c>
      <c r="Q18" s="11">
        <v>16422</v>
      </c>
      <c r="R18" s="11">
        <v>194600.69999999998</v>
      </c>
      <c r="S18" s="12">
        <v>1102737.3</v>
      </c>
    </row>
    <row r="19" spans="1:19" x14ac:dyDescent="0.3">
      <c r="A19" s="5">
        <v>55</v>
      </c>
      <c r="B19" s="6">
        <v>10055</v>
      </c>
      <c r="C19" s="6" t="s">
        <v>69</v>
      </c>
      <c r="D19" s="6">
        <v>2</v>
      </c>
      <c r="E19" s="6" t="s">
        <v>114</v>
      </c>
      <c r="F19" s="6" t="s">
        <v>120</v>
      </c>
      <c r="G19" s="9">
        <v>75000</v>
      </c>
      <c r="H19" s="9">
        <v>18750</v>
      </c>
      <c r="I19" s="9">
        <v>7500</v>
      </c>
      <c r="J19" s="9">
        <v>9375</v>
      </c>
      <c r="K19" s="9">
        <v>4275</v>
      </c>
      <c r="L19" s="9">
        <v>2400</v>
      </c>
      <c r="M19" s="9">
        <v>117300</v>
      </c>
      <c r="N19" s="9">
        <v>1466.25</v>
      </c>
      <c r="O19" s="9">
        <v>115833.75</v>
      </c>
      <c r="P19" s="9">
        <v>1390005</v>
      </c>
      <c r="Q19" s="9">
        <v>17595</v>
      </c>
      <c r="R19" s="9">
        <v>208500.75</v>
      </c>
      <c r="S19" s="10">
        <v>1181504.25</v>
      </c>
    </row>
    <row r="20" spans="1:19" x14ac:dyDescent="0.3">
      <c r="A20" s="7">
        <v>58</v>
      </c>
      <c r="B20" s="8">
        <v>10058</v>
      </c>
      <c r="C20" s="8" t="s">
        <v>72</v>
      </c>
      <c r="D20" s="8">
        <v>3</v>
      </c>
      <c r="E20" s="8" t="s">
        <v>114</v>
      </c>
      <c r="F20" s="8" t="s">
        <v>120</v>
      </c>
      <c r="G20" s="11">
        <v>80000</v>
      </c>
      <c r="H20" s="11">
        <v>20000</v>
      </c>
      <c r="I20" s="11">
        <v>8000</v>
      </c>
      <c r="J20" s="11">
        <v>10000</v>
      </c>
      <c r="K20" s="11">
        <v>4560</v>
      </c>
      <c r="L20" s="11">
        <v>2560</v>
      </c>
      <c r="M20" s="11">
        <v>125120</v>
      </c>
      <c r="N20" s="11">
        <v>1564</v>
      </c>
      <c r="O20" s="11">
        <v>123556</v>
      </c>
      <c r="P20" s="11">
        <v>1482672</v>
      </c>
      <c r="Q20" s="11">
        <v>18768</v>
      </c>
      <c r="R20" s="11">
        <v>222400.8</v>
      </c>
      <c r="S20" s="12">
        <v>1260271.2</v>
      </c>
    </row>
    <row r="21" spans="1:19" x14ac:dyDescent="0.3">
      <c r="A21" s="5">
        <v>61</v>
      </c>
      <c r="B21" s="6">
        <v>10061</v>
      </c>
      <c r="C21" s="6" t="s">
        <v>75</v>
      </c>
      <c r="D21" s="6">
        <v>4</v>
      </c>
      <c r="E21" s="6" t="s">
        <v>114</v>
      </c>
      <c r="F21" s="6" t="s">
        <v>117</v>
      </c>
      <c r="G21" s="9">
        <v>85000</v>
      </c>
      <c r="H21" s="9">
        <v>21250</v>
      </c>
      <c r="I21" s="9">
        <v>8500</v>
      </c>
      <c r="J21" s="9">
        <v>10625</v>
      </c>
      <c r="K21" s="9">
        <v>4845</v>
      </c>
      <c r="L21" s="9">
        <v>2720</v>
      </c>
      <c r="M21" s="9">
        <v>132940</v>
      </c>
      <c r="N21" s="9">
        <v>1661.75</v>
      </c>
      <c r="O21" s="9">
        <v>131278.25</v>
      </c>
      <c r="P21" s="9">
        <v>1575339</v>
      </c>
      <c r="Q21" s="9">
        <v>19941</v>
      </c>
      <c r="R21" s="9">
        <v>236300.84999999998</v>
      </c>
      <c r="S21" s="10">
        <v>1339038.1499999999</v>
      </c>
    </row>
    <row r="22" spans="1:19" x14ac:dyDescent="0.3">
      <c r="A22" s="7">
        <v>64</v>
      </c>
      <c r="B22" s="8">
        <v>10064</v>
      </c>
      <c r="C22" s="8" t="s">
        <v>77</v>
      </c>
      <c r="D22" s="8">
        <v>5</v>
      </c>
      <c r="E22" s="8" t="s">
        <v>114</v>
      </c>
      <c r="F22" s="8" t="s">
        <v>120</v>
      </c>
      <c r="G22" s="11">
        <v>90000</v>
      </c>
      <c r="H22" s="11">
        <v>22500</v>
      </c>
      <c r="I22" s="11">
        <v>9000</v>
      </c>
      <c r="J22" s="11">
        <v>11250</v>
      </c>
      <c r="K22" s="11">
        <v>5130</v>
      </c>
      <c r="L22" s="11">
        <v>2880</v>
      </c>
      <c r="M22" s="11">
        <v>140760</v>
      </c>
      <c r="N22" s="11">
        <v>1759.5</v>
      </c>
      <c r="O22" s="11">
        <v>139000.5</v>
      </c>
      <c r="P22" s="11">
        <v>1668006</v>
      </c>
      <c r="Q22" s="11">
        <v>21114</v>
      </c>
      <c r="R22" s="11">
        <v>250200.9</v>
      </c>
      <c r="S22" s="12">
        <v>1417805.1</v>
      </c>
    </row>
    <row r="23" spans="1:19" x14ac:dyDescent="0.3">
      <c r="A23" s="5">
        <v>67</v>
      </c>
      <c r="B23" s="6">
        <v>10067</v>
      </c>
      <c r="C23" s="6" t="s">
        <v>80</v>
      </c>
      <c r="D23" s="6">
        <v>6</v>
      </c>
      <c r="E23" s="6" t="s">
        <v>114</v>
      </c>
      <c r="F23" s="6" t="s">
        <v>120</v>
      </c>
      <c r="G23" s="9">
        <v>95000</v>
      </c>
      <c r="H23" s="9">
        <v>23750</v>
      </c>
      <c r="I23" s="9">
        <v>9500</v>
      </c>
      <c r="J23" s="9">
        <v>11875</v>
      </c>
      <c r="K23" s="9">
        <v>5415</v>
      </c>
      <c r="L23" s="9">
        <v>3040</v>
      </c>
      <c r="M23" s="9">
        <v>148580</v>
      </c>
      <c r="N23" s="9">
        <v>1857.25</v>
      </c>
      <c r="O23" s="9">
        <v>146722.75</v>
      </c>
      <c r="P23" s="9">
        <v>1760673</v>
      </c>
      <c r="Q23" s="9">
        <v>22287</v>
      </c>
      <c r="R23" s="9">
        <v>264100.95</v>
      </c>
      <c r="S23" s="10">
        <v>1496572.05</v>
      </c>
    </row>
    <row r="24" spans="1:19" x14ac:dyDescent="0.3">
      <c r="A24" s="7">
        <v>69</v>
      </c>
      <c r="B24" s="8">
        <v>10069</v>
      </c>
      <c r="C24" s="8" t="s">
        <v>82</v>
      </c>
      <c r="D24" s="8">
        <v>1</v>
      </c>
      <c r="E24" s="8" t="s">
        <v>114</v>
      </c>
      <c r="F24" s="8" t="s">
        <v>118</v>
      </c>
      <c r="G24" s="11">
        <v>70000</v>
      </c>
      <c r="H24" s="11">
        <v>17500</v>
      </c>
      <c r="I24" s="11">
        <v>7000</v>
      </c>
      <c r="J24" s="11">
        <v>8750</v>
      </c>
      <c r="K24" s="11">
        <v>3990</v>
      </c>
      <c r="L24" s="11">
        <v>2240</v>
      </c>
      <c r="M24" s="11">
        <v>109480</v>
      </c>
      <c r="N24" s="11">
        <v>1368.5</v>
      </c>
      <c r="O24" s="11">
        <v>108111.5</v>
      </c>
      <c r="P24" s="11">
        <v>1297338</v>
      </c>
      <c r="Q24" s="11">
        <v>16422</v>
      </c>
      <c r="R24" s="11">
        <v>194600.69999999998</v>
      </c>
      <c r="S24" s="12">
        <v>1102737.3</v>
      </c>
    </row>
    <row r="25" spans="1:19" x14ac:dyDescent="0.3">
      <c r="A25" s="5">
        <v>72</v>
      </c>
      <c r="B25" s="6">
        <v>10072</v>
      </c>
      <c r="C25" s="6" t="s">
        <v>85</v>
      </c>
      <c r="D25" s="6">
        <v>2</v>
      </c>
      <c r="E25" s="6" t="s">
        <v>114</v>
      </c>
      <c r="F25" s="6" t="s">
        <v>117</v>
      </c>
      <c r="G25" s="9">
        <v>75000</v>
      </c>
      <c r="H25" s="9">
        <v>18750</v>
      </c>
      <c r="I25" s="9">
        <v>7500</v>
      </c>
      <c r="J25" s="9">
        <v>9375</v>
      </c>
      <c r="K25" s="9">
        <v>4275</v>
      </c>
      <c r="L25" s="9">
        <v>2400</v>
      </c>
      <c r="M25" s="9">
        <v>117300</v>
      </c>
      <c r="N25" s="9">
        <v>1466.25</v>
      </c>
      <c r="O25" s="9">
        <v>115833.75</v>
      </c>
      <c r="P25" s="9">
        <v>1390005</v>
      </c>
      <c r="Q25" s="9">
        <v>17595</v>
      </c>
      <c r="R25" s="9">
        <v>208500.75</v>
      </c>
      <c r="S25" s="10">
        <v>1181504.25</v>
      </c>
    </row>
    <row r="26" spans="1:19" x14ac:dyDescent="0.3">
      <c r="A26" s="7">
        <v>75</v>
      </c>
      <c r="B26" s="8">
        <v>10075</v>
      </c>
      <c r="C26" s="8" t="s">
        <v>88</v>
      </c>
      <c r="D26" s="8">
        <v>3</v>
      </c>
      <c r="E26" s="8" t="s">
        <v>114</v>
      </c>
      <c r="F26" s="8" t="s">
        <v>119</v>
      </c>
      <c r="G26" s="11">
        <v>80000</v>
      </c>
      <c r="H26" s="11">
        <v>20000</v>
      </c>
      <c r="I26" s="11">
        <v>8000</v>
      </c>
      <c r="J26" s="11">
        <v>10000</v>
      </c>
      <c r="K26" s="11">
        <v>4560</v>
      </c>
      <c r="L26" s="11">
        <v>2560</v>
      </c>
      <c r="M26" s="11">
        <v>125120</v>
      </c>
      <c r="N26" s="11">
        <v>1564</v>
      </c>
      <c r="O26" s="11">
        <v>123556</v>
      </c>
      <c r="P26" s="11">
        <v>1482672</v>
      </c>
      <c r="Q26" s="11">
        <v>18768</v>
      </c>
      <c r="R26" s="11">
        <v>222400.8</v>
      </c>
      <c r="S26" s="12">
        <v>1260271.2</v>
      </c>
    </row>
    <row r="27" spans="1:19" x14ac:dyDescent="0.3">
      <c r="A27" s="5">
        <v>78</v>
      </c>
      <c r="B27" s="6">
        <v>10078</v>
      </c>
      <c r="C27" s="6" t="s">
        <v>91</v>
      </c>
      <c r="D27" s="6">
        <v>4</v>
      </c>
      <c r="E27" s="6" t="s">
        <v>114</v>
      </c>
      <c r="F27" s="6" t="s">
        <v>118</v>
      </c>
      <c r="G27" s="9">
        <v>85000</v>
      </c>
      <c r="H27" s="9">
        <v>21250</v>
      </c>
      <c r="I27" s="9">
        <v>8500</v>
      </c>
      <c r="J27" s="9">
        <v>10625</v>
      </c>
      <c r="K27" s="9">
        <v>4845</v>
      </c>
      <c r="L27" s="9">
        <v>2720</v>
      </c>
      <c r="M27" s="9">
        <v>132940</v>
      </c>
      <c r="N27" s="9">
        <v>1661.75</v>
      </c>
      <c r="O27" s="9">
        <v>131278.25</v>
      </c>
      <c r="P27" s="9">
        <v>1575339</v>
      </c>
      <c r="Q27" s="9">
        <v>19941</v>
      </c>
      <c r="R27" s="9">
        <v>236300.84999999998</v>
      </c>
      <c r="S27" s="10">
        <v>1339038.1499999999</v>
      </c>
    </row>
    <row r="28" spans="1:19" x14ac:dyDescent="0.3">
      <c r="A28" s="7">
        <v>81</v>
      </c>
      <c r="B28" s="8">
        <v>10081</v>
      </c>
      <c r="C28" s="8" t="s">
        <v>94</v>
      </c>
      <c r="D28" s="8">
        <v>5</v>
      </c>
      <c r="E28" s="8" t="s">
        <v>114</v>
      </c>
      <c r="F28" s="8" t="s">
        <v>118</v>
      </c>
      <c r="G28" s="11">
        <v>90000</v>
      </c>
      <c r="H28" s="11">
        <v>22500</v>
      </c>
      <c r="I28" s="11">
        <v>9000</v>
      </c>
      <c r="J28" s="11">
        <v>11250</v>
      </c>
      <c r="K28" s="11">
        <v>5130</v>
      </c>
      <c r="L28" s="11">
        <v>2880</v>
      </c>
      <c r="M28" s="11">
        <v>140760</v>
      </c>
      <c r="N28" s="11">
        <v>1759.5</v>
      </c>
      <c r="O28" s="11">
        <v>139000.5</v>
      </c>
      <c r="P28" s="11">
        <v>1668006</v>
      </c>
      <c r="Q28" s="11">
        <v>21114</v>
      </c>
      <c r="R28" s="11">
        <v>250200.9</v>
      </c>
      <c r="S28" s="12">
        <v>1417805.1</v>
      </c>
    </row>
    <row r="29" spans="1:19" x14ac:dyDescent="0.3">
      <c r="A29" s="5">
        <v>84</v>
      </c>
      <c r="B29" s="6">
        <v>10084</v>
      </c>
      <c r="C29" s="6" t="s">
        <v>97</v>
      </c>
      <c r="D29" s="6">
        <v>6</v>
      </c>
      <c r="E29" s="6" t="s">
        <v>114</v>
      </c>
      <c r="F29" s="6" t="s">
        <v>117</v>
      </c>
      <c r="G29" s="9">
        <v>95000</v>
      </c>
      <c r="H29" s="9">
        <v>23750</v>
      </c>
      <c r="I29" s="9">
        <v>9500</v>
      </c>
      <c r="J29" s="9">
        <v>11875</v>
      </c>
      <c r="K29" s="9">
        <v>5415</v>
      </c>
      <c r="L29" s="9">
        <v>3040</v>
      </c>
      <c r="M29" s="9">
        <v>148580</v>
      </c>
      <c r="N29" s="9">
        <v>1857.25</v>
      </c>
      <c r="O29" s="9">
        <v>146722.75</v>
      </c>
      <c r="P29" s="9">
        <v>1760673</v>
      </c>
      <c r="Q29" s="9">
        <v>22287</v>
      </c>
      <c r="R29" s="9">
        <v>264100.95</v>
      </c>
      <c r="S29" s="10">
        <v>1496572.05</v>
      </c>
    </row>
    <row r="30" spans="1:19" x14ac:dyDescent="0.3">
      <c r="A30" s="7">
        <v>86</v>
      </c>
      <c r="B30" s="8">
        <v>10086</v>
      </c>
      <c r="C30" s="8" t="s">
        <v>99</v>
      </c>
      <c r="D30" s="8">
        <v>1</v>
      </c>
      <c r="E30" s="8" t="s">
        <v>114</v>
      </c>
      <c r="F30" s="8" t="s">
        <v>118</v>
      </c>
      <c r="G30" s="11">
        <v>70000</v>
      </c>
      <c r="H30" s="11">
        <v>17500</v>
      </c>
      <c r="I30" s="11">
        <v>7000</v>
      </c>
      <c r="J30" s="11">
        <v>8750</v>
      </c>
      <c r="K30" s="11">
        <v>3990</v>
      </c>
      <c r="L30" s="11">
        <v>2240</v>
      </c>
      <c r="M30" s="11">
        <v>109480</v>
      </c>
      <c r="N30" s="11">
        <v>1368.5</v>
      </c>
      <c r="O30" s="11">
        <v>108111.5</v>
      </c>
      <c r="P30" s="11">
        <v>1297338</v>
      </c>
      <c r="Q30" s="11">
        <v>16422</v>
      </c>
      <c r="R30" s="11">
        <v>194600.69999999998</v>
      </c>
      <c r="S30" s="12">
        <v>1102737.3</v>
      </c>
    </row>
    <row r="31" spans="1:19" x14ac:dyDescent="0.3">
      <c r="A31" s="5">
        <v>89</v>
      </c>
      <c r="B31" s="6">
        <v>10089</v>
      </c>
      <c r="C31" s="6" t="s">
        <v>102</v>
      </c>
      <c r="D31" s="6">
        <v>2</v>
      </c>
      <c r="E31" s="6" t="s">
        <v>114</v>
      </c>
      <c r="F31" s="6" t="s">
        <v>117</v>
      </c>
      <c r="G31" s="9">
        <v>75000</v>
      </c>
      <c r="H31" s="9">
        <v>18750</v>
      </c>
      <c r="I31" s="9">
        <v>7500</v>
      </c>
      <c r="J31" s="9">
        <v>9375</v>
      </c>
      <c r="K31" s="9">
        <v>4275</v>
      </c>
      <c r="L31" s="9">
        <v>2400</v>
      </c>
      <c r="M31" s="9">
        <v>117300</v>
      </c>
      <c r="N31" s="9">
        <v>1466.25</v>
      </c>
      <c r="O31" s="9">
        <v>115833.75</v>
      </c>
      <c r="P31" s="9">
        <v>1390005</v>
      </c>
      <c r="Q31" s="9">
        <v>17595</v>
      </c>
      <c r="R31" s="9">
        <v>208500.75</v>
      </c>
      <c r="S31" s="10">
        <v>1181504.25</v>
      </c>
    </row>
    <row r="32" spans="1:19" x14ac:dyDescent="0.3">
      <c r="A32" s="7">
        <v>92</v>
      </c>
      <c r="B32" s="8">
        <v>10092</v>
      </c>
      <c r="C32" s="8" t="s">
        <v>105</v>
      </c>
      <c r="D32" s="8">
        <v>3</v>
      </c>
      <c r="E32" s="8" t="s">
        <v>114</v>
      </c>
      <c r="F32" s="8" t="s">
        <v>117</v>
      </c>
      <c r="G32" s="11">
        <v>80000</v>
      </c>
      <c r="H32" s="11">
        <v>20000</v>
      </c>
      <c r="I32" s="11">
        <v>8000</v>
      </c>
      <c r="J32" s="11">
        <v>10000</v>
      </c>
      <c r="K32" s="11">
        <v>4560</v>
      </c>
      <c r="L32" s="11">
        <v>2560</v>
      </c>
      <c r="M32" s="11">
        <v>125120</v>
      </c>
      <c r="N32" s="11">
        <v>1564</v>
      </c>
      <c r="O32" s="11">
        <v>123556</v>
      </c>
      <c r="P32" s="11">
        <v>1482672</v>
      </c>
      <c r="Q32" s="11">
        <v>18768</v>
      </c>
      <c r="R32" s="11">
        <v>222400.8</v>
      </c>
      <c r="S32" s="12">
        <v>1260271.2</v>
      </c>
    </row>
    <row r="33" spans="1:19" x14ac:dyDescent="0.3">
      <c r="A33" s="5">
        <v>95</v>
      </c>
      <c r="B33" s="6">
        <v>10095</v>
      </c>
      <c r="C33" s="6" t="s">
        <v>108</v>
      </c>
      <c r="D33" s="6">
        <v>4</v>
      </c>
      <c r="E33" s="6" t="s">
        <v>114</v>
      </c>
      <c r="F33" s="6" t="s">
        <v>118</v>
      </c>
      <c r="G33" s="9">
        <v>85000</v>
      </c>
      <c r="H33" s="9">
        <v>21250</v>
      </c>
      <c r="I33" s="9">
        <v>8500</v>
      </c>
      <c r="J33" s="9">
        <v>10625</v>
      </c>
      <c r="K33" s="9">
        <v>4845</v>
      </c>
      <c r="L33" s="9">
        <v>2720</v>
      </c>
      <c r="M33" s="9">
        <v>132940</v>
      </c>
      <c r="N33" s="9">
        <v>1661.75</v>
      </c>
      <c r="O33" s="9">
        <v>131278.25</v>
      </c>
      <c r="P33" s="9">
        <v>1575339</v>
      </c>
      <c r="Q33" s="9">
        <v>19941</v>
      </c>
      <c r="R33" s="9">
        <v>236300.84999999998</v>
      </c>
      <c r="S33" s="10">
        <v>1339038.1499999999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piovt table</vt:lpstr>
      <vt:lpstr>Dash board</vt:lpstr>
      <vt:lpstr>kpi</vt:lpstr>
      <vt:lpstr>Sheet1</vt:lpstr>
      <vt:lpstr>SENIOR</vt:lpstr>
      <vt:lpstr>JUNIOR</vt:lpstr>
      <vt:lpstr>CLERKS</vt:lpstr>
      <vt:lpstr>EMP</vt:lpstr>
    </vt:vector>
  </TitlesOfParts>
  <Company>Adebola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HALIMAH BASHIR</dc:creator>
  <cp:lastModifiedBy>HALIMAH BASHIR</cp:lastModifiedBy>
  <dcterms:created xsi:type="dcterms:W3CDTF">2026-07-30T00:24:26Z</dcterms:created>
  <dcterms:modified xsi:type="dcterms:W3CDTF">2026-08-12T16:38:10Z</dcterms:modified>
</cp:coreProperties>
</file>