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8d91c5bba96f787/Desktop/"/>
    </mc:Choice>
  </mc:AlternateContent>
  <xr:revisionPtr revIDLastSave="0" documentId="8_{A0E9C1A9-8CB4-427B-9F76-59084D93A6C7}" xr6:coauthVersionLast="47" xr6:coauthVersionMax="47" xr10:uidLastSave="{00000000-0000-0000-0000-000000000000}"/>
  <bookViews>
    <workbookView xWindow="5160" yWindow="2580" windowWidth="17880" windowHeight="8880" activeTab="1" xr2:uid="{00000000-000D-0000-FFFF-FFFF00000000}"/>
  </bookViews>
  <sheets>
    <sheet name="Instruction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2" l="1"/>
  <c r="R8" i="2"/>
  <c r="R7" i="2"/>
  <c r="R6" i="2"/>
  <c r="R5" i="2"/>
  <c r="R4" i="2"/>
  <c r="R1" i="2"/>
  <c r="R2" i="2"/>
  <c r="R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L102" i="2"/>
  <c r="M103" i="2"/>
  <c r="N104" i="2"/>
  <c r="L105" i="2"/>
  <c r="L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K102" i="2"/>
  <c r="L103" i="2"/>
  <c r="M104" i="2"/>
  <c r="K105" i="2"/>
  <c r="K106" i="2"/>
  <c r="M107" i="2"/>
  <c r="M108" i="2"/>
  <c r="M109" i="2"/>
  <c r="M110" i="2"/>
  <c r="M111" i="2"/>
  <c r="M112" i="2"/>
  <c r="O2" i="2"/>
  <c r="N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J2" i="2"/>
  <c r="I2" i="2"/>
  <c r="K60" i="2" l="1"/>
  <c r="K99" i="2"/>
  <c r="K87" i="2"/>
  <c r="K75" i="2"/>
  <c r="K63" i="2"/>
  <c r="K51" i="2"/>
  <c r="K39" i="2"/>
  <c r="K27" i="2"/>
  <c r="K15" i="2"/>
  <c r="K3" i="2"/>
  <c r="K2" i="2"/>
  <c r="K71" i="2"/>
  <c r="K59" i="2"/>
  <c r="K35" i="2"/>
  <c r="K23" i="2"/>
  <c r="K11" i="2"/>
  <c r="K48" i="2"/>
  <c r="K24" i="2"/>
  <c r="K12" i="2"/>
  <c r="K83" i="2"/>
  <c r="K82" i="2"/>
  <c r="K70" i="2"/>
  <c r="K34" i="2"/>
  <c r="K22" i="2"/>
  <c r="K90" i="2"/>
  <c r="K78" i="2"/>
  <c r="K66" i="2"/>
  <c r="K54" i="2"/>
  <c r="K42" i="2"/>
  <c r="K30" i="2"/>
  <c r="K18" i="2"/>
  <c r="K6" i="2"/>
  <c r="K93" i="2"/>
  <c r="K81" i="2"/>
  <c r="K69" i="2"/>
  <c r="K57" i="2"/>
  <c r="K45" i="2"/>
  <c r="K33" i="2"/>
  <c r="K21" i="2"/>
  <c r="K9" i="2"/>
  <c r="K101" i="2"/>
  <c r="K89" i="2"/>
  <c r="K77" i="2"/>
  <c r="K65" i="2"/>
  <c r="K53" i="2"/>
  <c r="K41" i="2"/>
  <c r="K29" i="2"/>
  <c r="K17" i="2"/>
  <c r="K5" i="2"/>
  <c r="K92" i="2"/>
  <c r="K80" i="2"/>
  <c r="K68" i="2"/>
  <c r="K56" i="2"/>
  <c r="K44" i="2"/>
  <c r="K32" i="2"/>
  <c r="K20" i="2"/>
  <c r="K8" i="2"/>
  <c r="K100" i="2"/>
  <c r="K88" i="2"/>
  <c r="K76" i="2"/>
  <c r="K64" i="2"/>
  <c r="K52" i="2"/>
  <c r="K40" i="2"/>
  <c r="K28" i="2"/>
  <c r="K16" i="2"/>
  <c r="K4" i="2"/>
  <c r="K98" i="2"/>
  <c r="K86" i="2"/>
  <c r="K74" i="2"/>
  <c r="K62" i="2"/>
  <c r="K50" i="2"/>
  <c r="K38" i="2"/>
  <c r="K26" i="2"/>
  <c r="K14" i="2"/>
  <c r="K97" i="2"/>
  <c r="K85" i="2"/>
  <c r="K73" i="2"/>
  <c r="K61" i="2"/>
  <c r="K49" i="2"/>
  <c r="K37" i="2"/>
  <c r="K25" i="2"/>
  <c r="K13" i="2"/>
  <c r="K96" i="2"/>
  <c r="K84" i="2"/>
  <c r="K72" i="2"/>
  <c r="K36" i="2"/>
  <c r="K95" i="2"/>
  <c r="K47" i="2"/>
  <c r="K58" i="2"/>
  <c r="K10" i="2"/>
  <c r="K94" i="2"/>
  <c r="K46" i="2"/>
  <c r="K91" i="2"/>
  <c r="K79" i="2"/>
  <c r="K67" i="2"/>
  <c r="K55" i="2"/>
  <c r="K43" i="2"/>
  <c r="K31" i="2"/>
  <c r="K19" i="2"/>
  <c r="K7" i="2"/>
</calcChain>
</file>

<file path=xl/sharedStrings.xml><?xml version="1.0" encoding="utf-8"?>
<sst xmlns="http://schemas.openxmlformats.org/spreadsheetml/2006/main" count="657" uniqueCount="190">
  <si>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</si>
  <si>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</si>
  <si>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</si>
  <si>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</si>
  <si>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</si>
  <si>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</si>
  <si>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</si>
  <si>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</si>
  <si>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</si>
  <si>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</si>
  <si>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</si>
  <si>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</si>
  <si>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</si>
  <si>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</si>
  <si>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</si>
  <si>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</si>
  <si>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</si>
  <si>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</si>
  <si>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</si>
  <si>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</si>
  <si>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</si>
  <si>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</si>
  <si>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</si>
  <si>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</si>
  <si>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</si>
  <si>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</si>
  <si>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</si>
  <si>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</si>
  <si>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</si>
  <si>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</si>
  <si>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Submit via this link.</t>
  </si>
  <si>
    <r>
      <rPr>
        <u/>
        <sz val="11"/>
        <color rgb="FF800080"/>
        <rFont val="Calibri"/>
      </rPr>
      <t xml:space="preserve"> https://docs.google.com/forms/d/1XlNYHeYal-dyobjPkKfbrCW7qvB8kNe_O7pfYNYinq8/edit?ts=6a2fc4d9  </t>
    </r>
  </si>
  <si>
    <t>A</t>
  </si>
  <si>
    <t>Full Name</t>
  </si>
  <si>
    <t>Department</t>
  </si>
  <si>
    <t>Job Title</t>
  </si>
  <si>
    <t>Gender</t>
  </si>
  <si>
    <t>Salary</t>
  </si>
  <si>
    <t>Experience (Years)</t>
  </si>
  <si>
    <t>City</t>
  </si>
  <si>
    <t>FIRST NAME</t>
  </si>
  <si>
    <t>LAST NAME</t>
  </si>
  <si>
    <t>EMAIL</t>
  </si>
  <si>
    <t>LENGHT</t>
  </si>
  <si>
    <t>DEPARTMENT(UPPER)</t>
  </si>
  <si>
    <t>DEPARTMENT(LOWER)</t>
  </si>
  <si>
    <t>DEPARTMENT(PROPER)</t>
  </si>
  <si>
    <t>TRIMMED NAMES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</si>
  <si>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</si>
  <si>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</si>
  <si>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</si>
  <si>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</si>
  <si>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</si>
  <si>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</si>
  <si>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</si>
  <si>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</si>
  <si>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</si>
  <si>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</si>
  <si>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</si>
  <si>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</si>
  <si>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</si>
  <si>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</si>
  <si>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</si>
  <si>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</si>
  <si>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</si>
  <si>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</si>
  <si>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</si>
  <si>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</si>
  <si>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</si>
  <si>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</si>
  <si>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</si>
  <si>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</si>
  <si>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</si>
  <si>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</si>
  <si>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</si>
  <si>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</si>
  <si>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</si>
  <si>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</si>
  <si>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</si>
  <si>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</si>
  <si>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</si>
  <si>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</si>
  <si>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</si>
  <si>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</si>
  <si>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</si>
  <si>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</si>
  <si>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</si>
  <si>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</si>
  <si>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</si>
  <si>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</si>
  <si>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</si>
  <si>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</si>
  <si>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</si>
  <si>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</si>
  <si>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</si>
  <si>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</si>
  <si>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</si>
  <si>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</si>
  <si>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</si>
  <si>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</si>
  <si>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</si>
  <si>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</si>
  <si>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</si>
  <si>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</si>
  <si>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</si>
  <si>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</si>
  <si>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</si>
  <si>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</si>
  <si>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</si>
  <si>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</si>
  <si>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</si>
  <si>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</si>
  <si>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</si>
  <si>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</si>
  <si>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</si>
  <si>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</si>
  <si>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</si>
  <si>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</si>
  <si>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</si>
  <si>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</si>
  <si>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</si>
  <si>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</si>
  <si>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</si>
  <si>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</si>
  <si>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</si>
  <si>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</si>
  <si>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</si>
  <si>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</si>
  <si>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</si>
  <si>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</si>
  <si>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</si>
  <si>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</si>
  <si>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</si>
  <si>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</si>
  <si>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</si>
  <si>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</si>
  <si>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</si>
  <si>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</si>
  <si>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</si>
  <si>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</si>
  <si>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</si>
  <si>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</si>
  <si>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</si>
  <si>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</si>
  <si>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</si>
  <si>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</si>
  <si>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</si>
  <si>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</si>
  <si>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</si>
  <si>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</si>
  <si>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</si>
  <si>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</si>
  <si>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</si>
  <si>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</si>
  <si>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</si>
  <si>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</si>
  <si>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</si>
  <si>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</si>
  <si>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</si>
  <si>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</si>
  <si>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</si>
  <si>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</si>
  <si>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</si>
  <si>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</si>
  <si>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</si>
  <si>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</si>
  <si>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</si>
  <si>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</si>
  <si>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</si>
  <si>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</si>
  <si>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</si>
  <si>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</si>
  <si>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</si>
  <si>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</si>
  <si>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</si>
  <si>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</si>
  <si>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</si>
  <si>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</si>
  <si>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</si>
  <si>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</si>
  <si>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TOTAL SALARY</t>
  </si>
  <si>
    <t>TOTAL EMPLOYEES</t>
  </si>
  <si>
    <t>AVERAGE SALARY</t>
  </si>
  <si>
    <t>TOTAL SALARY FOR SALES</t>
  </si>
  <si>
    <t>AVERAGE SALARY FOR HR DEPARTMENT</t>
  </si>
  <si>
    <t>MAX SALARY FOR EMPLOYEES IN IT DEPARTMENT</t>
  </si>
  <si>
    <t xml:space="preserve"> TOTAL SALARY LAGOS EMPLOYEES</t>
  </si>
  <si>
    <t>AVERAGE SALARY FEMALE EMPLOYEES</t>
  </si>
  <si>
    <t>MALE EMPLOYEES IN LAGOS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</si>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</sst>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&quot;$&quot;#,##0.00"/>
  </numFmts>
  <fonts count="8">
    <font>
      <sz val="11"/>
      <name val="Calibri"/>
    </font>
    <font>
      <u/>
      <sz val="11"/>
      <color rgb="FF800080"/>
      <name val="Calibri"/>
    </font>
    <font>
      <b/>
      <sz val="11"/>
      <color rgb="FF000000"/>
      <name val="Calibri"/>
      <charset val="134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0" fontId="6" fillId="5" borderId="0" xfId="0" applyFont="1" applyFill="1">
      <alignment vertical="center"/>
    </xf>
    <xf numFmtId="164" fontId="7" fillId="7" borderId="0" xfId="0" applyNumberFormat="1" applyFont="1" applyFill="1">
      <alignment vertical="center"/>
    </xf>
    <xf numFmtId="164" fontId="6" fillId="6" borderId="0" xfId="0" applyNumberFormat="1" applyFont="1" applyFill="1">
      <alignment vertical="center"/>
    </xf>
    <xf numFmtId="164" fontId="4" fillId="8" borderId="0" xfId="0" applyNumberFormat="1" applyFont="1" applyFill="1">
      <alignment vertical="center"/>
    </xf>
    <xf numFmtId="164" fontId="4" fillId="9" borderId="0" xfId="0" applyNumberFormat="1" applyFont="1" applyFill="1">
      <alignment vertical="center"/>
    </xf>
    <xf numFmtId="164" fontId="4" fillId="4" borderId="0" xfId="0" applyNumberFormat="1" applyFont="1" applyFill="1">
      <alignment vertical="center"/>
    </xf>
    <xf numFmtId="164" fontId="4" fillId="10" borderId="0" xfId="0" applyNumberFormat="1" applyFont="1" applyFill="1">
      <alignment vertical="center"/>
    </xf>
    <xf numFmtId="164" fontId="4" fillId="6" borderId="0" xfId="0" applyNumberFormat="1" applyFont="1" applyFill="1">
      <alignment vertical="center"/>
    </xf>
    <xf numFmtId="164" fontId="4" fillId="11" borderId="0" xfId="0" applyNumberFormat="1" applyFont="1" applyFill="1">
      <alignment vertical="center"/>
    </xf>
    <xf numFmtId="165" fontId="4" fillId="0" borderId="0" xfId="0" applyNumberFormat="1" applyFont="1">
      <alignment vertical="center"/>
    </xf>
    <xf numFmtId="0" fontId="5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opLeftCell="A41" workbookViewId="0">
      <selection activeCell="A65" sqref="A65"/>
    </sheetView>
  </sheetViews>
  <sheetFormatPr defaultColWidth="9" defaultRowHeight="14.4"/>
  <cols>
    <col min="1" max="1" width="127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0" spans="1:1">
      <c r="A20" t="s">
        <v>10</v>
      </c>
    </row>
    <row r="22" spans="1:1">
      <c r="A22" t="s">
        <v>11</v>
      </c>
    </row>
    <row r="24" spans="1:1">
      <c r="A24" t="s">
        <v>12</v>
      </c>
    </row>
    <row r="26" spans="1:1">
      <c r="A26" t="s">
        <v>13</v>
      </c>
    </row>
    <row r="28" spans="1:1">
      <c r="A28" t="s">
        <v>14</v>
      </c>
    </row>
    <row r="30" spans="1:1">
      <c r="A30" t="s">
        <v>15</v>
      </c>
    </row>
    <row r="32" spans="1:1">
      <c r="A32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  <row r="41" spans="1:1">
      <c r="A41" t="s">
        <v>20</v>
      </c>
    </row>
    <row r="43" spans="1:1">
      <c r="A43" t="s">
        <v>21</v>
      </c>
    </row>
    <row r="45" spans="1:1">
      <c r="A45" t="s">
        <v>22</v>
      </c>
    </row>
    <row r="48" spans="1:1">
      <c r="A48" t="s">
        <v>23</v>
      </c>
    </row>
    <row r="50" spans="1:1">
      <c r="A50" t="s">
        <v>24</v>
      </c>
    </row>
    <row r="52" spans="1:1">
      <c r="A52" t="s">
        <v>25</v>
      </c>
    </row>
    <row r="54" spans="1:1">
      <c r="A54" t="s">
        <v>26</v>
      </c>
    </row>
    <row r="56" spans="1:1">
      <c r="A56" t="s">
        <v>27</v>
      </c>
    </row>
    <row r="58" spans="1:1">
      <c r="A58" t="s">
        <v>28</v>
      </c>
    </row>
    <row r="60" spans="1:1">
      <c r="A60" t="s">
        <v>29</v>
      </c>
    </row>
    <row r="64" spans="1:1">
      <c r="A64" t="s">
        <v>30</v>
      </c>
    </row>
    <row r="65" spans="1:1">
      <c r="A65" s="1" t="s">
        <v>31</v>
      </c>
    </row>
  </sheetData>
  <hyperlinks>
    <hyperlink ref="A6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1"/>
  <sheetViews>
    <sheetView tabSelected="1" topLeftCell="K10" zoomScale="90" zoomScaleNormal="90" workbookViewId="0">
      <selection activeCell="Q12" sqref="Q12"/>
    </sheetView>
  </sheetViews>
  <sheetFormatPr defaultColWidth="9" defaultRowHeight="14.4"/>
  <cols>
    <col min="1" max="1" width="22.21875" customWidth="1"/>
    <col min="2" max="2" width="19.88671875" customWidth="1"/>
    <col min="3" max="3" width="20.33203125" customWidth="1"/>
    <col min="4" max="4" width="16" customWidth="1"/>
    <col min="5" max="5" width="16.88671875" customWidth="1"/>
    <col min="6" max="6" width="15" style="6" customWidth="1"/>
    <col min="7" max="7" width="18.5546875" customWidth="1"/>
    <col min="8" max="8" width="15.44140625" customWidth="1"/>
    <col min="9" max="9" width="15.5546875" customWidth="1"/>
    <col min="10" max="10" width="12.33203125" customWidth="1"/>
    <col min="11" max="11" width="27.33203125" customWidth="1"/>
    <col min="12" max="12" width="11.44140625" customWidth="1"/>
    <col min="13" max="13" width="26" customWidth="1"/>
    <col min="14" max="14" width="24.33203125" customWidth="1"/>
    <col min="15" max="15" width="23.33203125" customWidth="1"/>
    <col min="16" max="16" width="33.88671875" customWidth="1"/>
    <col min="17" max="17" width="43.77734375" customWidth="1"/>
    <col min="18" max="18" width="24.77734375" customWidth="1"/>
    <col min="19" max="19" width="25.44140625" customWidth="1"/>
  </cols>
  <sheetData>
    <row r="1" spans="1:18" ht="15.6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4" t="s">
        <v>37</v>
      </c>
      <c r="G1" s="3" t="s">
        <v>38</v>
      </c>
      <c r="H1" s="3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10" t="s">
        <v>180</v>
      </c>
      <c r="R1" s="9">
        <f>SUM(F2:F101)</f>
        <v>34862380</v>
      </c>
    </row>
    <row r="2" spans="1:18" ht="15.6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5">
        <v>400712</v>
      </c>
      <c r="G2" s="2">
        <v>4</v>
      </c>
      <c r="H2" s="2" t="s">
        <v>53</v>
      </c>
      <c r="I2" t="str">
        <f>TRIM(LEFT(B2,FIND(" ",B2)-1))</f>
        <v>Sade</v>
      </c>
      <c r="J2" t="str">
        <f>TRIM(MID(B2,FIND(" ",B2)+1,LEN(B2)))</f>
        <v>Bassey</v>
      </c>
      <c r="K2" t="str">
        <f>LOWER(I2&amp;". "&amp;J3&amp;"@name.com")</f>
        <v>sade. bassey@name.com</v>
      </c>
      <c r="L2">
        <f>LEN(B2)</f>
        <v>11</v>
      </c>
      <c r="M2" t="str">
        <f>UPPER(C2)</f>
        <v>IT</v>
      </c>
      <c r="N2" t="str">
        <f>LOWER(C2)</f>
        <v>it</v>
      </c>
      <c r="O2" t="str">
        <f>PROPER(C2)</f>
        <v>It</v>
      </c>
      <c r="P2" t="str">
        <f>TRIM(B2)</f>
        <v>Sade Bassey</v>
      </c>
      <c r="Q2" s="12" t="s">
        <v>182</v>
      </c>
      <c r="R2" s="9">
        <f>AVERAGE(F2:F101)</f>
        <v>348623.8</v>
      </c>
    </row>
    <row r="3" spans="1:18" ht="15.6">
      <c r="A3" s="2" t="s">
        <v>54</v>
      </c>
      <c r="B3" s="2" t="s">
        <v>49</v>
      </c>
      <c r="C3" s="2" t="s">
        <v>55</v>
      </c>
      <c r="D3" s="2" t="s">
        <v>56</v>
      </c>
      <c r="E3" s="2" t="s">
        <v>57</v>
      </c>
      <c r="F3" s="5">
        <v>200754</v>
      </c>
      <c r="G3" s="2">
        <v>10</v>
      </c>
      <c r="H3" s="2" t="s">
        <v>58</v>
      </c>
      <c r="I3" t="str">
        <f t="shared" ref="I3:I66" si="0">TRIM(LEFT(B3,FIND(" ",B3)-1))</f>
        <v>Sade</v>
      </c>
      <c r="J3" t="str">
        <f t="shared" ref="J3:J66" si="1">TRIM(MID(B3,FIND(" ",B3)+1,LEN(B3)))</f>
        <v>Bassey</v>
      </c>
      <c r="K3" t="str">
        <f>LOWER(I3&amp;". "&amp;J3&amp;"@name.com")</f>
        <v>sade. bassey@name.com</v>
      </c>
      <c r="L3">
        <f t="shared" ref="L3:L66" si="2">LEN(B3)</f>
        <v>11</v>
      </c>
      <c r="M3" t="str">
        <f t="shared" ref="M3:M66" si="3">UPPER(C3)</f>
        <v>MARKETING</v>
      </c>
      <c r="N3" t="str">
        <f t="shared" ref="N3:N66" si="4">LOWER(C3)</f>
        <v>marketing</v>
      </c>
      <c r="O3" t="str">
        <f t="shared" ref="O3:O66" si="5">PROPER(C3)</f>
        <v>Marketing</v>
      </c>
      <c r="P3" t="str">
        <f t="shared" ref="P3:P66" si="6">TRIM(B3)</f>
        <v>Sade Bassey</v>
      </c>
      <c r="Q3" s="11" t="s">
        <v>181</v>
      </c>
      <c r="R3" s="8">
        <f>COUNTA(A2:A101)</f>
        <v>100</v>
      </c>
    </row>
    <row r="4" spans="1:18">
      <c r="A4" s="2" t="s">
        <v>59</v>
      </c>
      <c r="B4" s="2" t="s">
        <v>60</v>
      </c>
      <c r="C4" s="2" t="s">
        <v>61</v>
      </c>
      <c r="D4" s="2" t="s">
        <v>56</v>
      </c>
      <c r="E4" s="2" t="s">
        <v>52</v>
      </c>
      <c r="F4" s="5">
        <v>457735</v>
      </c>
      <c r="G4" s="2">
        <v>3</v>
      </c>
      <c r="H4" s="2" t="s">
        <v>53</v>
      </c>
      <c r="I4" t="str">
        <f t="shared" si="0"/>
        <v>Faith</v>
      </c>
      <c r="J4" t="str">
        <f t="shared" si="1"/>
        <v>Udo</v>
      </c>
      <c r="K4" t="str">
        <f t="shared" ref="K4:K67" si="7">LOWER(I4&amp;". "&amp;J4&amp;"@name.com")</f>
        <v>faith. udo@name.com</v>
      </c>
      <c r="L4">
        <f t="shared" si="2"/>
        <v>9</v>
      </c>
      <c r="M4" t="str">
        <f t="shared" si="3"/>
        <v>SALES</v>
      </c>
      <c r="N4" t="str">
        <f t="shared" si="4"/>
        <v>sales</v>
      </c>
      <c r="O4" t="str">
        <f t="shared" si="5"/>
        <v>Sales</v>
      </c>
      <c r="P4" t="str">
        <f t="shared" si="6"/>
        <v>Faith Udo</v>
      </c>
      <c r="Q4" s="13" t="s">
        <v>183</v>
      </c>
      <c r="R4" s="8">
        <f>SUMIF(C2:C101,"Sales",F2:F101)</f>
        <v>6081869</v>
      </c>
    </row>
    <row r="5" spans="1:18">
      <c r="A5" s="2" t="s">
        <v>62</v>
      </c>
      <c r="B5" s="2" t="s">
        <v>49</v>
      </c>
      <c r="C5" s="2" t="s">
        <v>63</v>
      </c>
      <c r="D5" s="2" t="s">
        <v>64</v>
      </c>
      <c r="E5" s="2" t="s">
        <v>52</v>
      </c>
      <c r="F5" s="5">
        <v>337091</v>
      </c>
      <c r="G5" s="2">
        <v>2</v>
      </c>
      <c r="H5" s="2" t="s">
        <v>65</v>
      </c>
      <c r="I5" t="str">
        <f t="shared" si="0"/>
        <v>Sade</v>
      </c>
      <c r="J5" t="str">
        <f t="shared" si="1"/>
        <v>Bassey</v>
      </c>
      <c r="K5" t="str">
        <f t="shared" si="7"/>
        <v>sade. bassey@name.com</v>
      </c>
      <c r="L5">
        <f t="shared" si="2"/>
        <v>11</v>
      </c>
      <c r="M5" t="str">
        <f t="shared" si="3"/>
        <v>FINANCE</v>
      </c>
      <c r="N5" t="str">
        <f t="shared" si="4"/>
        <v>finance</v>
      </c>
      <c r="O5" t="str">
        <f t="shared" si="5"/>
        <v>Finance</v>
      </c>
      <c r="P5" t="str">
        <f t="shared" si="6"/>
        <v>Sade Bassey</v>
      </c>
      <c r="Q5" s="14" t="s">
        <v>184</v>
      </c>
      <c r="R5" s="19">
        <f>AVERAGEIF(C2:C101,"HR",F2:F101)</f>
        <v>353549.25</v>
      </c>
    </row>
    <row r="6" spans="1:18">
      <c r="A6" s="2" t="s">
        <v>66</v>
      </c>
      <c r="B6" s="2" t="s">
        <v>67</v>
      </c>
      <c r="C6" s="2" t="s">
        <v>50</v>
      </c>
      <c r="D6" s="2" t="s">
        <v>56</v>
      </c>
      <c r="E6" s="2" t="s">
        <v>57</v>
      </c>
      <c r="F6" s="5">
        <v>436492</v>
      </c>
      <c r="G6" s="2">
        <v>5</v>
      </c>
      <c r="H6" s="2" t="s">
        <v>68</v>
      </c>
      <c r="I6" t="str">
        <f t="shared" si="0"/>
        <v>Ibrahim</v>
      </c>
      <c r="J6" t="str">
        <f t="shared" si="1"/>
        <v>Musa</v>
      </c>
      <c r="K6" t="str">
        <f t="shared" si="7"/>
        <v>ibrahim. musa@name.com</v>
      </c>
      <c r="L6">
        <f t="shared" si="2"/>
        <v>12</v>
      </c>
      <c r="M6" t="str">
        <f t="shared" si="3"/>
        <v>IT</v>
      </c>
      <c r="N6" t="str">
        <f t="shared" si="4"/>
        <v>it</v>
      </c>
      <c r="O6" t="str">
        <f t="shared" si="5"/>
        <v>It</v>
      </c>
      <c r="P6" t="str">
        <f t="shared" si="6"/>
        <v>Ibrahim Musa</v>
      </c>
      <c r="Q6" s="17" t="s">
        <v>186</v>
      </c>
      <c r="R6" s="19">
        <f>SUMIFS(F2:F101,H2:H101,"Lagos",G2:G101,"&gt;3")</f>
        <v>5470326</v>
      </c>
    </row>
    <row r="7" spans="1:18">
      <c r="A7" s="2" t="s">
        <v>69</v>
      </c>
      <c r="B7" s="2" t="s">
        <v>70</v>
      </c>
      <c r="C7" s="2" t="s">
        <v>50</v>
      </c>
      <c r="D7" s="2" t="s">
        <v>71</v>
      </c>
      <c r="E7" s="2" t="s">
        <v>52</v>
      </c>
      <c r="F7" s="5">
        <v>404484</v>
      </c>
      <c r="G7" s="2">
        <v>10</v>
      </c>
      <c r="H7" s="2" t="s">
        <v>65</v>
      </c>
      <c r="I7" t="str">
        <f t="shared" si="0"/>
        <v>Tunde</v>
      </c>
      <c r="J7" t="str">
        <f t="shared" si="1"/>
        <v>Salisu</v>
      </c>
      <c r="K7" t="str">
        <f t="shared" si="7"/>
        <v>tunde. salisu@name.com</v>
      </c>
      <c r="L7">
        <f t="shared" si="2"/>
        <v>12</v>
      </c>
      <c r="M7" t="str">
        <f t="shared" si="3"/>
        <v>IT</v>
      </c>
      <c r="N7" t="str">
        <f t="shared" si="4"/>
        <v>it</v>
      </c>
      <c r="O7" t="str">
        <f t="shared" si="5"/>
        <v>It</v>
      </c>
      <c r="P7" t="str">
        <f t="shared" si="6"/>
        <v>Tunde Salisu</v>
      </c>
      <c r="Q7" s="16" t="s">
        <v>187</v>
      </c>
      <c r="R7" s="19">
        <f>AVERAGEIFS(F2:F101,E2:E101,"Female",H2:H101,"Lagos")</f>
        <v>315870.8</v>
      </c>
    </row>
    <row r="8" spans="1:18">
      <c r="A8" s="2" t="s">
        <v>72</v>
      </c>
      <c r="B8" s="2" t="s">
        <v>73</v>
      </c>
      <c r="C8" s="2" t="s">
        <v>50</v>
      </c>
      <c r="D8" s="2" t="s">
        <v>51</v>
      </c>
      <c r="E8" s="2" t="s">
        <v>52</v>
      </c>
      <c r="F8" s="5">
        <v>450806</v>
      </c>
      <c r="G8" s="2">
        <v>3</v>
      </c>
      <c r="H8" s="2" t="s">
        <v>58</v>
      </c>
      <c r="I8" t="str">
        <f t="shared" si="0"/>
        <v>James</v>
      </c>
      <c r="J8" t="str">
        <f t="shared" si="1"/>
        <v>Obi</v>
      </c>
      <c r="K8" t="str">
        <f t="shared" si="7"/>
        <v>james. obi@name.com</v>
      </c>
      <c r="L8">
        <f t="shared" si="2"/>
        <v>9</v>
      </c>
      <c r="M8" t="str">
        <f t="shared" si="3"/>
        <v>IT</v>
      </c>
      <c r="N8" t="str">
        <f t="shared" si="4"/>
        <v>it</v>
      </c>
      <c r="O8" t="str">
        <f t="shared" si="5"/>
        <v>It</v>
      </c>
      <c r="P8" t="str">
        <f t="shared" si="6"/>
        <v>James Obi</v>
      </c>
      <c r="Q8" s="15" t="s">
        <v>188</v>
      </c>
      <c r="R8" s="8">
        <f>COUNTIFS(E2:E101,"Male",H2:H101,"Lagos")</f>
        <v>15</v>
      </c>
    </row>
    <row r="9" spans="1:18">
      <c r="A9" s="2" t="s">
        <v>74</v>
      </c>
      <c r="B9" s="2" t="s">
        <v>67</v>
      </c>
      <c r="C9" s="2" t="s">
        <v>63</v>
      </c>
      <c r="D9" s="2" t="s">
        <v>56</v>
      </c>
      <c r="E9" s="2" t="s">
        <v>52</v>
      </c>
      <c r="F9" s="5">
        <v>307961</v>
      </c>
      <c r="G9" s="2">
        <v>2</v>
      </c>
      <c r="H9" s="2" t="s">
        <v>75</v>
      </c>
      <c r="I9" t="str">
        <f t="shared" si="0"/>
        <v>Ibrahim</v>
      </c>
      <c r="J9" t="str">
        <f t="shared" si="1"/>
        <v>Musa</v>
      </c>
      <c r="K9" t="str">
        <f t="shared" si="7"/>
        <v>ibrahim. musa@name.com</v>
      </c>
      <c r="L9">
        <f t="shared" si="2"/>
        <v>12</v>
      </c>
      <c r="M9" t="str">
        <f t="shared" si="3"/>
        <v>FINANCE</v>
      </c>
      <c r="N9" t="str">
        <f t="shared" si="4"/>
        <v>finance</v>
      </c>
      <c r="O9" t="str">
        <f t="shared" si="5"/>
        <v>Finance</v>
      </c>
      <c r="P9" t="str">
        <f t="shared" si="6"/>
        <v>Ibrahim Musa</v>
      </c>
      <c r="Q9" s="18" t="s">
        <v>185</v>
      </c>
      <c r="R9" s="19">
        <f>_xlfn.MAXIFS(F2:F101,C2:C101,"IT")</f>
        <v>493395</v>
      </c>
    </row>
    <row r="10" spans="1:18">
      <c r="A10" s="2" t="s">
        <v>76</v>
      </c>
      <c r="B10" s="2" t="s">
        <v>60</v>
      </c>
      <c r="C10" s="2" t="s">
        <v>61</v>
      </c>
      <c r="D10" s="2" t="s">
        <v>77</v>
      </c>
      <c r="E10" s="2" t="s">
        <v>57</v>
      </c>
      <c r="F10" s="5">
        <v>246421</v>
      </c>
      <c r="G10" s="2">
        <v>6</v>
      </c>
      <c r="H10" s="2" t="s">
        <v>68</v>
      </c>
      <c r="I10" t="str">
        <f t="shared" si="0"/>
        <v>Faith</v>
      </c>
      <c r="J10" t="str">
        <f t="shared" si="1"/>
        <v>Udo</v>
      </c>
      <c r="K10" t="str">
        <f t="shared" si="7"/>
        <v>faith. udo@name.com</v>
      </c>
      <c r="L10">
        <f t="shared" si="2"/>
        <v>9</v>
      </c>
      <c r="M10" t="str">
        <f t="shared" si="3"/>
        <v>SALES</v>
      </c>
      <c r="N10" t="str">
        <f t="shared" si="4"/>
        <v>sales</v>
      </c>
      <c r="O10" t="str">
        <f t="shared" si="5"/>
        <v>Sales</v>
      </c>
      <c r="P10" t="str">
        <f t="shared" si="6"/>
        <v>Faith Udo</v>
      </c>
      <c r="Q10" s="6"/>
    </row>
    <row r="11" spans="1:18">
      <c r="A11" s="2" t="s">
        <v>78</v>
      </c>
      <c r="B11" s="2" t="s">
        <v>79</v>
      </c>
      <c r="C11" s="2" t="s">
        <v>80</v>
      </c>
      <c r="D11" s="2" t="s">
        <v>77</v>
      </c>
      <c r="E11" s="2" t="s">
        <v>57</v>
      </c>
      <c r="F11" s="5">
        <v>403684</v>
      </c>
      <c r="G11" s="2">
        <v>3</v>
      </c>
      <c r="H11" s="2" t="s">
        <v>58</v>
      </c>
      <c r="I11" t="str">
        <f t="shared" si="0"/>
        <v>Tope</v>
      </c>
      <c r="J11" t="str">
        <f t="shared" si="1"/>
        <v>Ade</v>
      </c>
      <c r="K11" t="str">
        <f t="shared" si="7"/>
        <v>tope. ade@name.com</v>
      </c>
      <c r="L11">
        <f t="shared" si="2"/>
        <v>8</v>
      </c>
      <c r="M11" t="str">
        <f t="shared" si="3"/>
        <v>HR</v>
      </c>
      <c r="N11" t="str">
        <f t="shared" si="4"/>
        <v>hr</v>
      </c>
      <c r="O11" t="str">
        <f t="shared" si="5"/>
        <v>Hr</v>
      </c>
      <c r="P11" t="str">
        <f t="shared" si="6"/>
        <v>Tope Ade</v>
      </c>
      <c r="Q11" s="6"/>
    </row>
    <row r="12" spans="1:18">
      <c r="A12" s="2" t="s">
        <v>81</v>
      </c>
      <c r="B12" s="2" t="s">
        <v>73</v>
      </c>
      <c r="C12" s="2" t="s">
        <v>55</v>
      </c>
      <c r="D12" s="2" t="s">
        <v>82</v>
      </c>
      <c r="E12" s="2" t="s">
        <v>52</v>
      </c>
      <c r="F12" s="5">
        <v>317995</v>
      </c>
      <c r="G12" s="2">
        <v>9</v>
      </c>
      <c r="H12" s="2" t="s">
        <v>68</v>
      </c>
      <c r="I12" t="str">
        <f t="shared" si="0"/>
        <v>James</v>
      </c>
      <c r="J12" t="str">
        <f t="shared" si="1"/>
        <v>Obi</v>
      </c>
      <c r="K12" t="str">
        <f t="shared" si="7"/>
        <v>james. obi@name.com</v>
      </c>
      <c r="L12">
        <f t="shared" si="2"/>
        <v>9</v>
      </c>
      <c r="M12" t="str">
        <f t="shared" si="3"/>
        <v>MARKETING</v>
      </c>
      <c r="N12" t="str">
        <f t="shared" si="4"/>
        <v>marketing</v>
      </c>
      <c r="O12" t="str">
        <f t="shared" si="5"/>
        <v>Marketing</v>
      </c>
      <c r="P12" t="str">
        <f t="shared" si="6"/>
        <v>James Obi</v>
      </c>
      <c r="Q12" s="6"/>
    </row>
    <row r="13" spans="1:18">
      <c r="A13" s="2" t="s">
        <v>83</v>
      </c>
      <c r="B13" s="2" t="s">
        <v>84</v>
      </c>
      <c r="C13" s="2" t="s">
        <v>80</v>
      </c>
      <c r="D13" s="2" t="s">
        <v>85</v>
      </c>
      <c r="E13" s="2" t="s">
        <v>52</v>
      </c>
      <c r="F13" s="5">
        <v>242669</v>
      </c>
      <c r="G13" s="2">
        <v>6</v>
      </c>
      <c r="H13" s="2" t="s">
        <v>68</v>
      </c>
      <c r="I13" t="str">
        <f t="shared" si="0"/>
        <v>Chika</v>
      </c>
      <c r="J13" t="str">
        <f t="shared" si="1"/>
        <v>Umeh</v>
      </c>
      <c r="K13" t="str">
        <f t="shared" si="7"/>
        <v>chika. umeh@name.com</v>
      </c>
      <c r="L13">
        <f t="shared" si="2"/>
        <v>10</v>
      </c>
      <c r="M13" t="str">
        <f t="shared" si="3"/>
        <v>HR</v>
      </c>
      <c r="N13" t="str">
        <f t="shared" si="4"/>
        <v>hr</v>
      </c>
      <c r="O13" t="str">
        <f t="shared" si="5"/>
        <v>Hr</v>
      </c>
      <c r="P13" t="str">
        <f t="shared" si="6"/>
        <v>Chika Umeh</v>
      </c>
      <c r="Q13" s="6"/>
    </row>
    <row r="14" spans="1:18">
      <c r="A14" s="2" t="s">
        <v>86</v>
      </c>
      <c r="B14" s="2" t="s">
        <v>84</v>
      </c>
      <c r="C14" s="2" t="s">
        <v>80</v>
      </c>
      <c r="D14" s="2" t="s">
        <v>64</v>
      </c>
      <c r="E14" s="2" t="s">
        <v>57</v>
      </c>
      <c r="F14" s="5">
        <v>364238</v>
      </c>
      <c r="G14" s="2">
        <v>7</v>
      </c>
      <c r="H14" s="2" t="s">
        <v>65</v>
      </c>
      <c r="I14" t="str">
        <f t="shared" si="0"/>
        <v>Chika</v>
      </c>
      <c r="J14" t="str">
        <f t="shared" si="1"/>
        <v>Umeh</v>
      </c>
      <c r="K14" t="str">
        <f t="shared" si="7"/>
        <v>chika. umeh@name.com</v>
      </c>
      <c r="L14">
        <f t="shared" si="2"/>
        <v>10</v>
      </c>
      <c r="M14" t="str">
        <f t="shared" si="3"/>
        <v>HR</v>
      </c>
      <c r="N14" t="str">
        <f t="shared" si="4"/>
        <v>hr</v>
      </c>
      <c r="O14" t="str">
        <f t="shared" si="5"/>
        <v>Hr</v>
      </c>
      <c r="P14" t="str">
        <f t="shared" si="6"/>
        <v>Chika Umeh</v>
      </c>
      <c r="Q14" s="6"/>
    </row>
    <row r="15" spans="1:18">
      <c r="A15" s="2" t="s">
        <v>87</v>
      </c>
      <c r="B15" s="2" t="s">
        <v>49</v>
      </c>
      <c r="C15" s="2" t="s">
        <v>63</v>
      </c>
      <c r="D15" s="2" t="s">
        <v>88</v>
      </c>
      <c r="E15" s="2" t="s">
        <v>52</v>
      </c>
      <c r="F15" s="5">
        <v>215724</v>
      </c>
      <c r="G15" s="2">
        <v>9</v>
      </c>
      <c r="H15" s="2" t="s">
        <v>75</v>
      </c>
      <c r="I15" t="str">
        <f t="shared" si="0"/>
        <v>Sade</v>
      </c>
      <c r="J15" t="str">
        <f t="shared" si="1"/>
        <v>Bassey</v>
      </c>
      <c r="K15" t="str">
        <f t="shared" si="7"/>
        <v>sade. bassey@name.com</v>
      </c>
      <c r="L15">
        <f t="shared" si="2"/>
        <v>11</v>
      </c>
      <c r="M15" t="str">
        <f t="shared" si="3"/>
        <v>FINANCE</v>
      </c>
      <c r="N15" t="str">
        <f t="shared" si="4"/>
        <v>finance</v>
      </c>
      <c r="O15" t="str">
        <f t="shared" si="5"/>
        <v>Finance</v>
      </c>
      <c r="P15" t="str">
        <f t="shared" si="6"/>
        <v>Sade Bassey</v>
      </c>
      <c r="Q15" s="6"/>
    </row>
    <row r="16" spans="1:18">
      <c r="A16" s="2" t="s">
        <v>89</v>
      </c>
      <c r="B16" s="2" t="s">
        <v>84</v>
      </c>
      <c r="C16" s="2" t="s">
        <v>55</v>
      </c>
      <c r="D16" s="2" t="s">
        <v>85</v>
      </c>
      <c r="E16" s="2" t="s">
        <v>57</v>
      </c>
      <c r="F16" s="5">
        <v>301679</v>
      </c>
      <c r="G16" s="2">
        <v>10</v>
      </c>
      <c r="H16" s="2" t="s">
        <v>58</v>
      </c>
      <c r="I16" t="str">
        <f t="shared" si="0"/>
        <v>Chika</v>
      </c>
      <c r="J16" t="str">
        <f t="shared" si="1"/>
        <v>Umeh</v>
      </c>
      <c r="K16" t="str">
        <f t="shared" si="7"/>
        <v>chika. umeh@name.com</v>
      </c>
      <c r="L16">
        <f t="shared" si="2"/>
        <v>10</v>
      </c>
      <c r="M16" t="str">
        <f t="shared" si="3"/>
        <v>MARKETING</v>
      </c>
      <c r="N16" t="str">
        <f t="shared" si="4"/>
        <v>marketing</v>
      </c>
      <c r="O16" t="str">
        <f t="shared" si="5"/>
        <v>Marketing</v>
      </c>
      <c r="P16" t="str">
        <f t="shared" si="6"/>
        <v>Chika Umeh</v>
      </c>
      <c r="Q16" s="6"/>
    </row>
    <row r="17" spans="1:17">
      <c r="A17" s="2" t="s">
        <v>90</v>
      </c>
      <c r="B17" s="2" t="s">
        <v>67</v>
      </c>
      <c r="C17" s="2" t="s">
        <v>50</v>
      </c>
      <c r="D17" s="2" t="s">
        <v>88</v>
      </c>
      <c r="E17" s="2" t="s">
        <v>57</v>
      </c>
      <c r="F17" s="5">
        <v>243689</v>
      </c>
      <c r="G17" s="2">
        <v>3</v>
      </c>
      <c r="H17" s="2" t="s">
        <v>68</v>
      </c>
      <c r="I17" t="str">
        <f t="shared" si="0"/>
        <v>Ibrahim</v>
      </c>
      <c r="J17" t="str">
        <f t="shared" si="1"/>
        <v>Musa</v>
      </c>
      <c r="K17" t="str">
        <f t="shared" si="7"/>
        <v>ibrahim. musa@name.com</v>
      </c>
      <c r="L17">
        <f t="shared" si="2"/>
        <v>12</v>
      </c>
      <c r="M17" t="str">
        <f t="shared" si="3"/>
        <v>IT</v>
      </c>
      <c r="N17" t="str">
        <f t="shared" si="4"/>
        <v>it</v>
      </c>
      <c r="O17" t="str">
        <f t="shared" si="5"/>
        <v>It</v>
      </c>
      <c r="P17" t="str">
        <f t="shared" si="6"/>
        <v>Ibrahim Musa</v>
      </c>
      <c r="Q17" s="6"/>
    </row>
    <row r="18" spans="1:17">
      <c r="A18" s="2" t="s">
        <v>91</v>
      </c>
      <c r="B18" s="2" t="s">
        <v>70</v>
      </c>
      <c r="C18" s="2" t="s">
        <v>50</v>
      </c>
      <c r="D18" s="2" t="s">
        <v>51</v>
      </c>
      <c r="E18" s="2" t="s">
        <v>52</v>
      </c>
      <c r="F18" s="5">
        <v>465805</v>
      </c>
      <c r="G18" s="2">
        <v>10</v>
      </c>
      <c r="H18" s="2" t="s">
        <v>58</v>
      </c>
      <c r="I18" t="str">
        <f t="shared" si="0"/>
        <v>Tunde</v>
      </c>
      <c r="J18" t="str">
        <f t="shared" si="1"/>
        <v>Salisu</v>
      </c>
      <c r="K18" t="str">
        <f t="shared" si="7"/>
        <v>tunde. salisu@name.com</v>
      </c>
      <c r="L18">
        <f t="shared" si="2"/>
        <v>12</v>
      </c>
      <c r="M18" t="str">
        <f t="shared" si="3"/>
        <v>IT</v>
      </c>
      <c r="N18" t="str">
        <f t="shared" si="4"/>
        <v>it</v>
      </c>
      <c r="O18" t="str">
        <f t="shared" si="5"/>
        <v>It</v>
      </c>
      <c r="P18" t="str">
        <f t="shared" si="6"/>
        <v>Tunde Salisu</v>
      </c>
      <c r="Q18" s="6"/>
    </row>
    <row r="19" spans="1:17">
      <c r="A19" s="2" t="s">
        <v>92</v>
      </c>
      <c r="B19" s="2" t="s">
        <v>84</v>
      </c>
      <c r="C19" s="2" t="s">
        <v>55</v>
      </c>
      <c r="D19" s="2" t="s">
        <v>56</v>
      </c>
      <c r="E19" s="2" t="s">
        <v>57</v>
      </c>
      <c r="F19" s="5">
        <v>414186</v>
      </c>
      <c r="G19" s="2">
        <v>7</v>
      </c>
      <c r="H19" s="2" t="s">
        <v>75</v>
      </c>
      <c r="I19" t="str">
        <f t="shared" si="0"/>
        <v>Chika</v>
      </c>
      <c r="J19" t="str">
        <f t="shared" si="1"/>
        <v>Umeh</v>
      </c>
      <c r="K19" t="str">
        <f t="shared" si="7"/>
        <v>chika. umeh@name.com</v>
      </c>
      <c r="L19">
        <f t="shared" si="2"/>
        <v>10</v>
      </c>
      <c r="M19" t="str">
        <f t="shared" si="3"/>
        <v>MARKETING</v>
      </c>
      <c r="N19" t="str">
        <f t="shared" si="4"/>
        <v>marketing</v>
      </c>
      <c r="O19" t="str">
        <f t="shared" si="5"/>
        <v>Marketing</v>
      </c>
      <c r="P19" t="str">
        <f t="shared" si="6"/>
        <v>Chika Umeh</v>
      </c>
      <c r="Q19" s="6"/>
    </row>
    <row r="20" spans="1:17">
      <c r="A20" s="2" t="s">
        <v>93</v>
      </c>
      <c r="B20" s="2" t="s">
        <v>94</v>
      </c>
      <c r="C20" s="2" t="s">
        <v>80</v>
      </c>
      <c r="D20" s="2" t="s">
        <v>56</v>
      </c>
      <c r="E20" s="2" t="s">
        <v>57</v>
      </c>
      <c r="F20" s="5">
        <v>282557</v>
      </c>
      <c r="G20" s="2">
        <v>9</v>
      </c>
      <c r="H20" s="2" t="s">
        <v>65</v>
      </c>
      <c r="I20" t="str">
        <f t="shared" si="0"/>
        <v>Maria</v>
      </c>
      <c r="J20" t="str">
        <f t="shared" si="1"/>
        <v>Okafor</v>
      </c>
      <c r="K20" t="str">
        <f t="shared" si="7"/>
        <v>maria. okafor@name.com</v>
      </c>
      <c r="L20">
        <f t="shared" si="2"/>
        <v>12</v>
      </c>
      <c r="M20" t="str">
        <f t="shared" si="3"/>
        <v>HR</v>
      </c>
      <c r="N20" t="str">
        <f t="shared" si="4"/>
        <v>hr</v>
      </c>
      <c r="O20" t="str">
        <f t="shared" si="5"/>
        <v>Hr</v>
      </c>
      <c r="P20" t="str">
        <f t="shared" si="6"/>
        <v>Maria Okafor</v>
      </c>
      <c r="Q20" s="6"/>
    </row>
    <row r="21" spans="1:17">
      <c r="A21" s="2" t="s">
        <v>95</v>
      </c>
      <c r="B21" s="2" t="s">
        <v>73</v>
      </c>
      <c r="C21" s="2" t="s">
        <v>80</v>
      </c>
      <c r="D21" s="2" t="s">
        <v>96</v>
      </c>
      <c r="E21" s="2" t="s">
        <v>52</v>
      </c>
      <c r="F21" s="5">
        <v>330692</v>
      </c>
      <c r="G21" s="2">
        <v>10</v>
      </c>
      <c r="H21" s="2" t="s">
        <v>68</v>
      </c>
      <c r="I21" t="str">
        <f t="shared" si="0"/>
        <v>James</v>
      </c>
      <c r="J21" t="str">
        <f t="shared" si="1"/>
        <v>Obi</v>
      </c>
      <c r="K21" t="str">
        <f t="shared" si="7"/>
        <v>james. obi@name.com</v>
      </c>
      <c r="L21">
        <f t="shared" si="2"/>
        <v>9</v>
      </c>
      <c r="M21" t="str">
        <f t="shared" si="3"/>
        <v>HR</v>
      </c>
      <c r="N21" t="str">
        <f t="shared" si="4"/>
        <v>hr</v>
      </c>
      <c r="O21" t="str">
        <f t="shared" si="5"/>
        <v>Hr</v>
      </c>
      <c r="P21" t="str">
        <f t="shared" si="6"/>
        <v>James Obi</v>
      </c>
      <c r="Q21" s="6"/>
    </row>
    <row r="22" spans="1:17">
      <c r="A22" s="2" t="s">
        <v>97</v>
      </c>
      <c r="B22" s="2" t="s">
        <v>84</v>
      </c>
      <c r="C22" s="2" t="s">
        <v>63</v>
      </c>
      <c r="D22" s="2" t="s">
        <v>64</v>
      </c>
      <c r="E22" s="2" t="s">
        <v>52</v>
      </c>
      <c r="F22" s="5">
        <v>334719</v>
      </c>
      <c r="G22" s="2">
        <v>4</v>
      </c>
      <c r="H22" s="2" t="s">
        <v>53</v>
      </c>
      <c r="I22" t="str">
        <f t="shared" si="0"/>
        <v>Chika</v>
      </c>
      <c r="J22" t="str">
        <f t="shared" si="1"/>
        <v>Umeh</v>
      </c>
      <c r="K22" t="str">
        <f t="shared" si="7"/>
        <v>chika. umeh@name.com</v>
      </c>
      <c r="L22">
        <f t="shared" si="2"/>
        <v>10</v>
      </c>
      <c r="M22" t="str">
        <f t="shared" si="3"/>
        <v>FINANCE</v>
      </c>
      <c r="N22" t="str">
        <f t="shared" si="4"/>
        <v>finance</v>
      </c>
      <c r="O22" t="str">
        <f t="shared" si="5"/>
        <v>Finance</v>
      </c>
      <c r="P22" t="str">
        <f t="shared" si="6"/>
        <v>Chika Umeh</v>
      </c>
      <c r="Q22" s="6"/>
    </row>
    <row r="23" spans="1:17">
      <c r="A23" s="2" t="s">
        <v>98</v>
      </c>
      <c r="B23" s="2" t="s">
        <v>49</v>
      </c>
      <c r="C23" s="2" t="s">
        <v>61</v>
      </c>
      <c r="D23" s="2" t="s">
        <v>99</v>
      </c>
      <c r="E23" s="2" t="s">
        <v>57</v>
      </c>
      <c r="F23" s="5">
        <v>237212</v>
      </c>
      <c r="G23" s="2">
        <v>5</v>
      </c>
      <c r="H23" s="2" t="s">
        <v>68</v>
      </c>
      <c r="I23" t="str">
        <f t="shared" si="0"/>
        <v>Sade</v>
      </c>
      <c r="J23" t="str">
        <f t="shared" si="1"/>
        <v>Bassey</v>
      </c>
      <c r="K23" t="str">
        <f t="shared" si="7"/>
        <v>sade. bassey@name.com</v>
      </c>
      <c r="L23">
        <f t="shared" si="2"/>
        <v>11</v>
      </c>
      <c r="M23" t="str">
        <f t="shared" si="3"/>
        <v>SALES</v>
      </c>
      <c r="N23" t="str">
        <f t="shared" si="4"/>
        <v>sales</v>
      </c>
      <c r="O23" t="str">
        <f t="shared" si="5"/>
        <v>Sales</v>
      </c>
      <c r="P23" t="str">
        <f t="shared" si="6"/>
        <v>Sade Bassey</v>
      </c>
      <c r="Q23" s="6"/>
    </row>
    <row r="24" spans="1:17">
      <c r="A24" s="2" t="s">
        <v>100</v>
      </c>
      <c r="B24" s="2" t="s">
        <v>60</v>
      </c>
      <c r="C24" s="2" t="s">
        <v>63</v>
      </c>
      <c r="D24" s="2" t="s">
        <v>71</v>
      </c>
      <c r="E24" s="2" t="s">
        <v>57</v>
      </c>
      <c r="F24" s="5">
        <v>382250</v>
      </c>
      <c r="G24" s="2">
        <v>1</v>
      </c>
      <c r="H24" s="2" t="s">
        <v>68</v>
      </c>
      <c r="I24" t="str">
        <f t="shared" si="0"/>
        <v>Faith</v>
      </c>
      <c r="J24" t="str">
        <f t="shared" si="1"/>
        <v>Udo</v>
      </c>
      <c r="K24" t="str">
        <f t="shared" si="7"/>
        <v>faith. udo@name.com</v>
      </c>
      <c r="L24">
        <f t="shared" si="2"/>
        <v>9</v>
      </c>
      <c r="M24" t="str">
        <f t="shared" si="3"/>
        <v>FINANCE</v>
      </c>
      <c r="N24" t="str">
        <f t="shared" si="4"/>
        <v>finance</v>
      </c>
      <c r="O24" t="str">
        <f t="shared" si="5"/>
        <v>Finance</v>
      </c>
      <c r="P24" t="str">
        <f t="shared" si="6"/>
        <v>Faith Udo</v>
      </c>
      <c r="Q24" s="6"/>
    </row>
    <row r="25" spans="1:17">
      <c r="A25" s="2" t="s">
        <v>101</v>
      </c>
      <c r="B25" s="2" t="s">
        <v>79</v>
      </c>
      <c r="C25" s="2" t="s">
        <v>50</v>
      </c>
      <c r="D25" s="2" t="s">
        <v>85</v>
      </c>
      <c r="E25" s="2" t="s">
        <v>57</v>
      </c>
      <c r="F25" s="5">
        <v>422408</v>
      </c>
      <c r="G25" s="2">
        <v>9</v>
      </c>
      <c r="H25" s="2" t="s">
        <v>68</v>
      </c>
      <c r="I25" t="str">
        <f t="shared" si="0"/>
        <v>Tope</v>
      </c>
      <c r="J25" t="str">
        <f t="shared" si="1"/>
        <v>Ade</v>
      </c>
      <c r="K25" t="str">
        <f t="shared" si="7"/>
        <v>tope. ade@name.com</v>
      </c>
      <c r="L25">
        <f t="shared" si="2"/>
        <v>8</v>
      </c>
      <c r="M25" t="str">
        <f t="shared" si="3"/>
        <v>IT</v>
      </c>
      <c r="N25" t="str">
        <f t="shared" si="4"/>
        <v>it</v>
      </c>
      <c r="O25" t="str">
        <f t="shared" si="5"/>
        <v>It</v>
      </c>
      <c r="P25" t="str">
        <f t="shared" si="6"/>
        <v>Tope Ade</v>
      </c>
      <c r="Q25" s="6"/>
    </row>
    <row r="26" spans="1:17">
      <c r="A26" s="2" t="s">
        <v>102</v>
      </c>
      <c r="B26" s="2" t="s">
        <v>103</v>
      </c>
      <c r="C26" s="2" t="s">
        <v>80</v>
      </c>
      <c r="D26" s="2" t="s">
        <v>88</v>
      </c>
      <c r="E26" s="2" t="s">
        <v>52</v>
      </c>
      <c r="F26" s="5">
        <v>291740</v>
      </c>
      <c r="G26" s="2">
        <v>1</v>
      </c>
      <c r="H26" s="2" t="s">
        <v>68</v>
      </c>
      <c r="I26" t="str">
        <f t="shared" si="0"/>
        <v>Ngozi</v>
      </c>
      <c r="J26" t="str">
        <f t="shared" si="1"/>
        <v>Bello</v>
      </c>
      <c r="K26" t="str">
        <f t="shared" si="7"/>
        <v>ngozi. bello@name.com</v>
      </c>
      <c r="L26">
        <f t="shared" si="2"/>
        <v>11</v>
      </c>
      <c r="M26" t="str">
        <f t="shared" si="3"/>
        <v>HR</v>
      </c>
      <c r="N26" t="str">
        <f t="shared" si="4"/>
        <v>hr</v>
      </c>
      <c r="O26" t="str">
        <f t="shared" si="5"/>
        <v>Hr</v>
      </c>
      <c r="P26" t="str">
        <f t="shared" si="6"/>
        <v>Ngozi Bello</v>
      </c>
      <c r="Q26" s="6"/>
    </row>
    <row r="27" spans="1:17">
      <c r="A27" s="2" t="s">
        <v>104</v>
      </c>
      <c r="B27" s="2" t="s">
        <v>60</v>
      </c>
      <c r="C27" s="2" t="s">
        <v>80</v>
      </c>
      <c r="D27" s="2" t="s">
        <v>99</v>
      </c>
      <c r="E27" s="2" t="s">
        <v>57</v>
      </c>
      <c r="F27" s="5">
        <v>417509</v>
      </c>
      <c r="G27" s="2">
        <v>7</v>
      </c>
      <c r="H27" s="2" t="s">
        <v>75</v>
      </c>
      <c r="I27" t="str">
        <f t="shared" si="0"/>
        <v>Faith</v>
      </c>
      <c r="J27" t="str">
        <f t="shared" si="1"/>
        <v>Udo</v>
      </c>
      <c r="K27" t="str">
        <f t="shared" si="7"/>
        <v>faith. udo@name.com</v>
      </c>
      <c r="L27">
        <f t="shared" si="2"/>
        <v>9</v>
      </c>
      <c r="M27" t="str">
        <f t="shared" si="3"/>
        <v>HR</v>
      </c>
      <c r="N27" t="str">
        <f t="shared" si="4"/>
        <v>hr</v>
      </c>
      <c r="O27" t="str">
        <f t="shared" si="5"/>
        <v>Hr</v>
      </c>
      <c r="P27" t="str">
        <f t="shared" si="6"/>
        <v>Faith Udo</v>
      </c>
      <c r="Q27" s="6"/>
    </row>
    <row r="28" spans="1:17">
      <c r="A28" s="2" t="s">
        <v>105</v>
      </c>
      <c r="B28" s="2" t="s">
        <v>60</v>
      </c>
      <c r="C28" s="2" t="s">
        <v>61</v>
      </c>
      <c r="D28" s="2" t="s">
        <v>56</v>
      </c>
      <c r="E28" s="2" t="s">
        <v>52</v>
      </c>
      <c r="F28" s="5">
        <v>450750</v>
      </c>
      <c r="G28" s="2">
        <v>4</v>
      </c>
      <c r="H28" s="2" t="s">
        <v>53</v>
      </c>
      <c r="I28" t="str">
        <f t="shared" si="0"/>
        <v>Faith</v>
      </c>
      <c r="J28" t="str">
        <f t="shared" si="1"/>
        <v>Udo</v>
      </c>
      <c r="K28" t="str">
        <f t="shared" si="7"/>
        <v>faith. udo@name.com</v>
      </c>
      <c r="L28">
        <f t="shared" si="2"/>
        <v>9</v>
      </c>
      <c r="M28" t="str">
        <f t="shared" si="3"/>
        <v>SALES</v>
      </c>
      <c r="N28" t="str">
        <f t="shared" si="4"/>
        <v>sales</v>
      </c>
      <c r="O28" t="str">
        <f t="shared" si="5"/>
        <v>Sales</v>
      </c>
      <c r="P28" t="str">
        <f t="shared" si="6"/>
        <v>Faith Udo</v>
      </c>
      <c r="Q28" s="6"/>
    </row>
    <row r="29" spans="1:17">
      <c r="A29" s="2" t="s">
        <v>106</v>
      </c>
      <c r="B29" s="2" t="s">
        <v>79</v>
      </c>
      <c r="C29" s="2" t="s">
        <v>80</v>
      </c>
      <c r="D29" s="2" t="s">
        <v>99</v>
      </c>
      <c r="E29" s="2" t="s">
        <v>52</v>
      </c>
      <c r="F29" s="5">
        <v>281642</v>
      </c>
      <c r="G29" s="2">
        <v>5</v>
      </c>
      <c r="H29" s="2" t="s">
        <v>65</v>
      </c>
      <c r="I29" t="str">
        <f t="shared" si="0"/>
        <v>Tope</v>
      </c>
      <c r="J29" t="str">
        <f t="shared" si="1"/>
        <v>Ade</v>
      </c>
      <c r="K29" t="str">
        <f t="shared" si="7"/>
        <v>tope. ade@name.com</v>
      </c>
      <c r="L29">
        <f t="shared" si="2"/>
        <v>8</v>
      </c>
      <c r="M29" t="str">
        <f t="shared" si="3"/>
        <v>HR</v>
      </c>
      <c r="N29" t="str">
        <f t="shared" si="4"/>
        <v>hr</v>
      </c>
      <c r="O29" t="str">
        <f t="shared" si="5"/>
        <v>Hr</v>
      </c>
      <c r="P29" t="str">
        <f t="shared" si="6"/>
        <v>Tope Ade</v>
      </c>
      <c r="Q29" s="6"/>
    </row>
    <row r="30" spans="1:17">
      <c r="A30" s="2" t="s">
        <v>107</v>
      </c>
      <c r="B30" s="2" t="s">
        <v>73</v>
      </c>
      <c r="C30" s="2" t="s">
        <v>61</v>
      </c>
      <c r="D30" s="2" t="s">
        <v>71</v>
      </c>
      <c r="E30" s="2" t="s">
        <v>57</v>
      </c>
      <c r="F30" s="5">
        <v>291645</v>
      </c>
      <c r="G30" s="2">
        <v>10</v>
      </c>
      <c r="H30" s="2" t="s">
        <v>53</v>
      </c>
      <c r="I30" t="str">
        <f t="shared" si="0"/>
        <v>James</v>
      </c>
      <c r="J30" t="str">
        <f t="shared" si="1"/>
        <v>Obi</v>
      </c>
      <c r="K30" t="str">
        <f t="shared" si="7"/>
        <v>james. obi@name.com</v>
      </c>
      <c r="L30">
        <f t="shared" si="2"/>
        <v>9</v>
      </c>
      <c r="M30" t="str">
        <f t="shared" si="3"/>
        <v>SALES</v>
      </c>
      <c r="N30" t="str">
        <f t="shared" si="4"/>
        <v>sales</v>
      </c>
      <c r="O30" t="str">
        <f t="shared" si="5"/>
        <v>Sales</v>
      </c>
      <c r="P30" t="str">
        <f t="shared" si="6"/>
        <v>James Obi</v>
      </c>
      <c r="Q30" s="6"/>
    </row>
    <row r="31" spans="1:17">
      <c r="A31" s="2" t="s">
        <v>108</v>
      </c>
      <c r="B31" s="2" t="s">
        <v>67</v>
      </c>
      <c r="C31" s="2" t="s">
        <v>50</v>
      </c>
      <c r="D31" s="2" t="s">
        <v>71</v>
      </c>
      <c r="E31" s="2" t="s">
        <v>57</v>
      </c>
      <c r="F31" s="5">
        <v>309288</v>
      </c>
      <c r="G31" s="2">
        <v>7</v>
      </c>
      <c r="H31" s="2" t="s">
        <v>68</v>
      </c>
      <c r="I31" t="str">
        <f t="shared" si="0"/>
        <v>Ibrahim</v>
      </c>
      <c r="J31" t="str">
        <f t="shared" si="1"/>
        <v>Musa</v>
      </c>
      <c r="K31" t="str">
        <f t="shared" si="7"/>
        <v>ibrahim. musa@name.com</v>
      </c>
      <c r="L31">
        <f t="shared" si="2"/>
        <v>12</v>
      </c>
      <c r="M31" t="str">
        <f t="shared" si="3"/>
        <v>IT</v>
      </c>
      <c r="N31" t="str">
        <f t="shared" si="4"/>
        <v>it</v>
      </c>
      <c r="O31" t="str">
        <f t="shared" si="5"/>
        <v>It</v>
      </c>
      <c r="P31" t="str">
        <f t="shared" si="6"/>
        <v>Ibrahim Musa</v>
      </c>
      <c r="Q31" s="6"/>
    </row>
    <row r="32" spans="1:17">
      <c r="A32" s="2" t="s">
        <v>109</v>
      </c>
      <c r="B32" s="2" t="s">
        <v>67</v>
      </c>
      <c r="C32" s="2" t="s">
        <v>80</v>
      </c>
      <c r="D32" s="2" t="s">
        <v>56</v>
      </c>
      <c r="E32" s="2" t="s">
        <v>52</v>
      </c>
      <c r="F32" s="5">
        <v>271687</v>
      </c>
      <c r="G32" s="2">
        <v>10</v>
      </c>
      <c r="H32" s="2" t="s">
        <v>68</v>
      </c>
      <c r="I32" t="str">
        <f t="shared" si="0"/>
        <v>Ibrahim</v>
      </c>
      <c r="J32" t="str">
        <f t="shared" si="1"/>
        <v>Musa</v>
      </c>
      <c r="K32" t="str">
        <f t="shared" si="7"/>
        <v>ibrahim. musa@name.com</v>
      </c>
      <c r="L32">
        <f t="shared" si="2"/>
        <v>12</v>
      </c>
      <c r="M32" t="str">
        <f t="shared" si="3"/>
        <v>HR</v>
      </c>
      <c r="N32" t="str">
        <f t="shared" si="4"/>
        <v>hr</v>
      </c>
      <c r="O32" t="str">
        <f t="shared" si="5"/>
        <v>Hr</v>
      </c>
      <c r="P32" t="str">
        <f t="shared" si="6"/>
        <v>Ibrahim Musa</v>
      </c>
      <c r="Q32" s="6"/>
    </row>
    <row r="33" spans="1:17">
      <c r="A33" s="2" t="s">
        <v>110</v>
      </c>
      <c r="B33" s="2" t="s">
        <v>60</v>
      </c>
      <c r="C33" s="2" t="s">
        <v>50</v>
      </c>
      <c r="D33" s="2" t="s">
        <v>71</v>
      </c>
      <c r="E33" s="2" t="s">
        <v>52</v>
      </c>
      <c r="F33" s="5">
        <v>365101</v>
      </c>
      <c r="G33" s="2">
        <v>9</v>
      </c>
      <c r="H33" s="2" t="s">
        <v>65</v>
      </c>
      <c r="I33" t="str">
        <f t="shared" si="0"/>
        <v>Faith</v>
      </c>
      <c r="J33" t="str">
        <f t="shared" si="1"/>
        <v>Udo</v>
      </c>
      <c r="K33" t="str">
        <f t="shared" si="7"/>
        <v>faith. udo@name.com</v>
      </c>
      <c r="L33">
        <f t="shared" si="2"/>
        <v>9</v>
      </c>
      <c r="M33" t="str">
        <f t="shared" si="3"/>
        <v>IT</v>
      </c>
      <c r="N33" t="str">
        <f t="shared" si="4"/>
        <v>it</v>
      </c>
      <c r="O33" t="str">
        <f t="shared" si="5"/>
        <v>It</v>
      </c>
      <c r="P33" t="str">
        <f t="shared" si="6"/>
        <v>Faith Udo</v>
      </c>
      <c r="Q33" s="6"/>
    </row>
    <row r="34" spans="1:17">
      <c r="A34" s="2" t="s">
        <v>111</v>
      </c>
      <c r="B34" s="2" t="s">
        <v>103</v>
      </c>
      <c r="C34" s="2" t="s">
        <v>50</v>
      </c>
      <c r="D34" s="2" t="s">
        <v>99</v>
      </c>
      <c r="E34" s="2" t="s">
        <v>52</v>
      </c>
      <c r="F34" s="5">
        <v>472149</v>
      </c>
      <c r="G34" s="2">
        <v>7</v>
      </c>
      <c r="H34" s="2" t="s">
        <v>75</v>
      </c>
      <c r="I34" t="str">
        <f t="shared" si="0"/>
        <v>Ngozi</v>
      </c>
      <c r="J34" t="str">
        <f t="shared" si="1"/>
        <v>Bello</v>
      </c>
      <c r="K34" t="str">
        <f t="shared" si="7"/>
        <v>ngozi. bello@name.com</v>
      </c>
      <c r="L34">
        <f t="shared" si="2"/>
        <v>11</v>
      </c>
      <c r="M34" t="str">
        <f t="shared" si="3"/>
        <v>IT</v>
      </c>
      <c r="N34" t="str">
        <f t="shared" si="4"/>
        <v>it</v>
      </c>
      <c r="O34" t="str">
        <f t="shared" si="5"/>
        <v>It</v>
      </c>
      <c r="P34" t="str">
        <f t="shared" si="6"/>
        <v>Ngozi Bello</v>
      </c>
      <c r="Q34" s="6"/>
    </row>
    <row r="35" spans="1:17">
      <c r="A35" s="2" t="s">
        <v>112</v>
      </c>
      <c r="B35" s="2" t="s">
        <v>67</v>
      </c>
      <c r="C35" s="2" t="s">
        <v>61</v>
      </c>
      <c r="D35" s="2" t="s">
        <v>99</v>
      </c>
      <c r="E35" s="2" t="s">
        <v>52</v>
      </c>
      <c r="F35" s="5">
        <v>408551</v>
      </c>
      <c r="G35" s="2">
        <v>7</v>
      </c>
      <c r="H35" s="2" t="s">
        <v>75</v>
      </c>
      <c r="I35" t="str">
        <f t="shared" si="0"/>
        <v>Ibrahim</v>
      </c>
      <c r="J35" t="str">
        <f t="shared" si="1"/>
        <v>Musa</v>
      </c>
      <c r="K35" t="str">
        <f t="shared" si="7"/>
        <v>ibrahim. musa@name.com</v>
      </c>
      <c r="L35">
        <f t="shared" si="2"/>
        <v>12</v>
      </c>
      <c r="M35" t="str">
        <f t="shared" si="3"/>
        <v>SALES</v>
      </c>
      <c r="N35" t="str">
        <f t="shared" si="4"/>
        <v>sales</v>
      </c>
      <c r="O35" t="str">
        <f t="shared" si="5"/>
        <v>Sales</v>
      </c>
      <c r="P35" t="str">
        <f t="shared" si="6"/>
        <v>Ibrahim Musa</v>
      </c>
      <c r="Q35" s="6"/>
    </row>
    <row r="36" spans="1:17">
      <c r="A36" s="2" t="s">
        <v>113</v>
      </c>
      <c r="B36" s="2" t="s">
        <v>103</v>
      </c>
      <c r="C36" s="2" t="s">
        <v>61</v>
      </c>
      <c r="D36" s="2" t="s">
        <v>99</v>
      </c>
      <c r="E36" s="2" t="s">
        <v>57</v>
      </c>
      <c r="F36" s="5">
        <v>334912</v>
      </c>
      <c r="G36" s="2">
        <v>2</v>
      </c>
      <c r="H36" s="2" t="s">
        <v>75</v>
      </c>
      <c r="I36" t="str">
        <f t="shared" si="0"/>
        <v>Ngozi</v>
      </c>
      <c r="J36" t="str">
        <f t="shared" si="1"/>
        <v>Bello</v>
      </c>
      <c r="K36" t="str">
        <f t="shared" si="7"/>
        <v>ngozi. bello@name.com</v>
      </c>
      <c r="L36">
        <f t="shared" si="2"/>
        <v>11</v>
      </c>
      <c r="M36" t="str">
        <f t="shared" si="3"/>
        <v>SALES</v>
      </c>
      <c r="N36" t="str">
        <f t="shared" si="4"/>
        <v>sales</v>
      </c>
      <c r="O36" t="str">
        <f t="shared" si="5"/>
        <v>Sales</v>
      </c>
      <c r="P36" t="str">
        <f t="shared" si="6"/>
        <v>Ngozi Bello</v>
      </c>
      <c r="Q36" s="6"/>
    </row>
    <row r="37" spans="1:17">
      <c r="A37" s="2" t="s">
        <v>114</v>
      </c>
      <c r="B37" s="2" t="s">
        <v>84</v>
      </c>
      <c r="C37" s="2" t="s">
        <v>63</v>
      </c>
      <c r="D37" s="2" t="s">
        <v>64</v>
      </c>
      <c r="E37" s="2" t="s">
        <v>57</v>
      </c>
      <c r="F37" s="5">
        <v>311844</v>
      </c>
      <c r="G37" s="2">
        <v>8</v>
      </c>
      <c r="H37" s="2" t="s">
        <v>65</v>
      </c>
      <c r="I37" t="str">
        <f t="shared" si="0"/>
        <v>Chika</v>
      </c>
      <c r="J37" t="str">
        <f t="shared" si="1"/>
        <v>Umeh</v>
      </c>
      <c r="K37" t="str">
        <f t="shared" si="7"/>
        <v>chika. umeh@name.com</v>
      </c>
      <c r="L37">
        <f t="shared" si="2"/>
        <v>10</v>
      </c>
      <c r="M37" t="str">
        <f t="shared" si="3"/>
        <v>FINANCE</v>
      </c>
      <c r="N37" t="str">
        <f t="shared" si="4"/>
        <v>finance</v>
      </c>
      <c r="O37" t="str">
        <f t="shared" si="5"/>
        <v>Finance</v>
      </c>
      <c r="P37" t="str">
        <f t="shared" si="6"/>
        <v>Chika Umeh</v>
      </c>
      <c r="Q37" s="6"/>
    </row>
    <row r="38" spans="1:17">
      <c r="A38" s="2" t="s">
        <v>115</v>
      </c>
      <c r="B38" s="2" t="s">
        <v>79</v>
      </c>
      <c r="C38" s="2" t="s">
        <v>55</v>
      </c>
      <c r="D38" s="2" t="s">
        <v>51</v>
      </c>
      <c r="E38" s="2" t="s">
        <v>57</v>
      </c>
      <c r="F38" s="5">
        <v>222804</v>
      </c>
      <c r="G38" s="2">
        <v>8</v>
      </c>
      <c r="H38" s="2" t="s">
        <v>65</v>
      </c>
      <c r="I38" t="str">
        <f t="shared" si="0"/>
        <v>Tope</v>
      </c>
      <c r="J38" t="str">
        <f t="shared" si="1"/>
        <v>Ade</v>
      </c>
      <c r="K38" t="str">
        <f t="shared" si="7"/>
        <v>tope. ade@name.com</v>
      </c>
      <c r="L38">
        <f t="shared" si="2"/>
        <v>8</v>
      </c>
      <c r="M38" t="str">
        <f t="shared" si="3"/>
        <v>MARKETING</v>
      </c>
      <c r="N38" t="str">
        <f t="shared" si="4"/>
        <v>marketing</v>
      </c>
      <c r="O38" t="str">
        <f t="shared" si="5"/>
        <v>Marketing</v>
      </c>
      <c r="P38" t="str">
        <f t="shared" si="6"/>
        <v>Tope Ade</v>
      </c>
      <c r="Q38" s="6"/>
    </row>
    <row r="39" spans="1:17">
      <c r="A39" s="2" t="s">
        <v>116</v>
      </c>
      <c r="B39" s="2" t="s">
        <v>49</v>
      </c>
      <c r="C39" s="2" t="s">
        <v>63</v>
      </c>
      <c r="D39" s="2" t="s">
        <v>88</v>
      </c>
      <c r="E39" s="2" t="s">
        <v>52</v>
      </c>
      <c r="F39" s="5">
        <v>202674</v>
      </c>
      <c r="G39" s="2">
        <v>4</v>
      </c>
      <c r="H39" s="2" t="s">
        <v>53</v>
      </c>
      <c r="I39" t="str">
        <f t="shared" si="0"/>
        <v>Sade</v>
      </c>
      <c r="J39" t="str">
        <f t="shared" si="1"/>
        <v>Bassey</v>
      </c>
      <c r="K39" t="str">
        <f t="shared" si="7"/>
        <v>sade. bassey@name.com</v>
      </c>
      <c r="L39">
        <f t="shared" si="2"/>
        <v>11</v>
      </c>
      <c r="M39" t="str">
        <f t="shared" si="3"/>
        <v>FINANCE</v>
      </c>
      <c r="N39" t="str">
        <f t="shared" si="4"/>
        <v>finance</v>
      </c>
      <c r="O39" t="str">
        <f t="shared" si="5"/>
        <v>Finance</v>
      </c>
      <c r="P39" t="str">
        <f t="shared" si="6"/>
        <v>Sade Bassey</v>
      </c>
      <c r="Q39" s="6"/>
    </row>
    <row r="40" spans="1:17">
      <c r="A40" s="2" t="s">
        <v>117</v>
      </c>
      <c r="B40" s="2" t="s">
        <v>49</v>
      </c>
      <c r="C40" s="2" t="s">
        <v>50</v>
      </c>
      <c r="D40" s="2" t="s">
        <v>85</v>
      </c>
      <c r="E40" s="2" t="s">
        <v>52</v>
      </c>
      <c r="F40" s="5">
        <v>481535</v>
      </c>
      <c r="G40" s="2">
        <v>10</v>
      </c>
      <c r="H40" s="2" t="s">
        <v>65</v>
      </c>
      <c r="I40" t="str">
        <f t="shared" si="0"/>
        <v>Sade</v>
      </c>
      <c r="J40" t="str">
        <f t="shared" si="1"/>
        <v>Bassey</v>
      </c>
      <c r="K40" t="str">
        <f t="shared" si="7"/>
        <v>sade. bassey@name.com</v>
      </c>
      <c r="L40">
        <f t="shared" si="2"/>
        <v>11</v>
      </c>
      <c r="M40" t="str">
        <f t="shared" si="3"/>
        <v>IT</v>
      </c>
      <c r="N40" t="str">
        <f t="shared" si="4"/>
        <v>it</v>
      </c>
      <c r="O40" t="str">
        <f t="shared" si="5"/>
        <v>It</v>
      </c>
      <c r="P40" t="str">
        <f t="shared" si="6"/>
        <v>Sade Bassey</v>
      </c>
      <c r="Q40" s="6"/>
    </row>
    <row r="41" spans="1:17">
      <c r="A41" s="2" t="s">
        <v>118</v>
      </c>
      <c r="B41" s="2" t="s">
        <v>73</v>
      </c>
      <c r="C41" s="2" t="s">
        <v>63</v>
      </c>
      <c r="D41" s="2" t="s">
        <v>64</v>
      </c>
      <c r="E41" s="2" t="s">
        <v>57</v>
      </c>
      <c r="F41" s="5">
        <v>338509</v>
      </c>
      <c r="G41" s="2">
        <v>1</v>
      </c>
      <c r="H41" s="2" t="s">
        <v>68</v>
      </c>
      <c r="I41" t="str">
        <f t="shared" si="0"/>
        <v>James</v>
      </c>
      <c r="J41" t="str">
        <f t="shared" si="1"/>
        <v>Obi</v>
      </c>
      <c r="K41" t="str">
        <f t="shared" si="7"/>
        <v>james. obi@name.com</v>
      </c>
      <c r="L41">
        <f t="shared" si="2"/>
        <v>9</v>
      </c>
      <c r="M41" t="str">
        <f t="shared" si="3"/>
        <v>FINANCE</v>
      </c>
      <c r="N41" t="str">
        <f t="shared" si="4"/>
        <v>finance</v>
      </c>
      <c r="O41" t="str">
        <f t="shared" si="5"/>
        <v>Finance</v>
      </c>
      <c r="P41" t="str">
        <f t="shared" si="6"/>
        <v>James Obi</v>
      </c>
      <c r="Q41" s="6"/>
    </row>
    <row r="42" spans="1:17">
      <c r="A42" s="2" t="s">
        <v>119</v>
      </c>
      <c r="B42" s="2" t="s">
        <v>49</v>
      </c>
      <c r="C42" s="2" t="s">
        <v>61</v>
      </c>
      <c r="D42" s="2" t="s">
        <v>64</v>
      </c>
      <c r="E42" s="2" t="s">
        <v>52</v>
      </c>
      <c r="F42" s="5">
        <v>234031</v>
      </c>
      <c r="G42" s="2">
        <v>10</v>
      </c>
      <c r="H42" s="2" t="s">
        <v>58</v>
      </c>
      <c r="I42" t="str">
        <f t="shared" si="0"/>
        <v>Sade</v>
      </c>
      <c r="J42" t="str">
        <f t="shared" si="1"/>
        <v>Bassey</v>
      </c>
      <c r="K42" t="str">
        <f t="shared" si="7"/>
        <v>sade. bassey@name.com</v>
      </c>
      <c r="L42">
        <f t="shared" si="2"/>
        <v>11</v>
      </c>
      <c r="M42" t="str">
        <f t="shared" si="3"/>
        <v>SALES</v>
      </c>
      <c r="N42" t="str">
        <f t="shared" si="4"/>
        <v>sales</v>
      </c>
      <c r="O42" t="str">
        <f t="shared" si="5"/>
        <v>Sales</v>
      </c>
      <c r="P42" t="str">
        <f t="shared" si="6"/>
        <v>Sade Bassey</v>
      </c>
      <c r="Q42" s="6"/>
    </row>
    <row r="43" spans="1:17">
      <c r="A43" s="2" t="s">
        <v>120</v>
      </c>
      <c r="B43" s="2" t="s">
        <v>60</v>
      </c>
      <c r="C43" s="2" t="s">
        <v>61</v>
      </c>
      <c r="D43" s="2" t="s">
        <v>71</v>
      </c>
      <c r="E43" s="2" t="s">
        <v>57</v>
      </c>
      <c r="F43" s="5">
        <v>265908</v>
      </c>
      <c r="G43" s="2">
        <v>7</v>
      </c>
      <c r="H43" s="2" t="s">
        <v>58</v>
      </c>
      <c r="I43" t="str">
        <f t="shared" si="0"/>
        <v>Faith</v>
      </c>
      <c r="J43" t="str">
        <f t="shared" si="1"/>
        <v>Udo</v>
      </c>
      <c r="K43" t="str">
        <f t="shared" si="7"/>
        <v>faith. udo@name.com</v>
      </c>
      <c r="L43">
        <f t="shared" si="2"/>
        <v>9</v>
      </c>
      <c r="M43" t="str">
        <f t="shared" si="3"/>
        <v>SALES</v>
      </c>
      <c r="N43" t="str">
        <f t="shared" si="4"/>
        <v>sales</v>
      </c>
      <c r="O43" t="str">
        <f t="shared" si="5"/>
        <v>Sales</v>
      </c>
      <c r="P43" t="str">
        <f t="shared" si="6"/>
        <v>Faith Udo</v>
      </c>
      <c r="Q43" s="6"/>
    </row>
    <row r="44" spans="1:17">
      <c r="A44" s="2" t="s">
        <v>121</v>
      </c>
      <c r="B44" s="2" t="s">
        <v>84</v>
      </c>
      <c r="C44" s="2" t="s">
        <v>50</v>
      </c>
      <c r="D44" s="2" t="s">
        <v>51</v>
      </c>
      <c r="E44" s="2" t="s">
        <v>57</v>
      </c>
      <c r="F44" s="5">
        <v>338554</v>
      </c>
      <c r="G44" s="2">
        <v>1</v>
      </c>
      <c r="H44" s="2" t="s">
        <v>58</v>
      </c>
      <c r="I44" t="str">
        <f t="shared" si="0"/>
        <v>Chika</v>
      </c>
      <c r="J44" t="str">
        <f t="shared" si="1"/>
        <v>Umeh</v>
      </c>
      <c r="K44" t="str">
        <f t="shared" si="7"/>
        <v>chika. umeh@name.com</v>
      </c>
      <c r="L44">
        <f t="shared" si="2"/>
        <v>10</v>
      </c>
      <c r="M44" t="str">
        <f t="shared" si="3"/>
        <v>IT</v>
      </c>
      <c r="N44" t="str">
        <f t="shared" si="4"/>
        <v>it</v>
      </c>
      <c r="O44" t="str">
        <f t="shared" si="5"/>
        <v>It</v>
      </c>
      <c r="P44" t="str">
        <f t="shared" si="6"/>
        <v>Chika Umeh</v>
      </c>
      <c r="Q44" s="6"/>
    </row>
    <row r="45" spans="1:17">
      <c r="A45" s="2" t="s">
        <v>122</v>
      </c>
      <c r="B45" s="2" t="s">
        <v>60</v>
      </c>
      <c r="C45" s="2" t="s">
        <v>55</v>
      </c>
      <c r="D45" s="2" t="s">
        <v>88</v>
      </c>
      <c r="E45" s="2" t="s">
        <v>57</v>
      </c>
      <c r="F45" s="5">
        <v>413957</v>
      </c>
      <c r="G45" s="2">
        <v>3</v>
      </c>
      <c r="H45" s="2" t="s">
        <v>68</v>
      </c>
      <c r="I45" t="str">
        <f t="shared" si="0"/>
        <v>Faith</v>
      </c>
      <c r="J45" t="str">
        <f t="shared" si="1"/>
        <v>Udo</v>
      </c>
      <c r="K45" t="str">
        <f t="shared" si="7"/>
        <v>faith. udo@name.com</v>
      </c>
      <c r="L45">
        <f t="shared" si="2"/>
        <v>9</v>
      </c>
      <c r="M45" t="str">
        <f t="shared" si="3"/>
        <v>MARKETING</v>
      </c>
      <c r="N45" t="str">
        <f t="shared" si="4"/>
        <v>marketing</v>
      </c>
      <c r="O45" t="str">
        <f t="shared" si="5"/>
        <v>Marketing</v>
      </c>
      <c r="P45" t="str">
        <f t="shared" si="6"/>
        <v>Faith Udo</v>
      </c>
      <c r="Q45" s="6"/>
    </row>
    <row r="46" spans="1:17">
      <c r="A46" s="2" t="s">
        <v>123</v>
      </c>
      <c r="B46" s="2" t="s">
        <v>49</v>
      </c>
      <c r="C46" s="2" t="s">
        <v>80</v>
      </c>
      <c r="D46" s="2" t="s">
        <v>51</v>
      </c>
      <c r="E46" s="2" t="s">
        <v>52</v>
      </c>
      <c r="F46" s="5">
        <v>485264</v>
      </c>
      <c r="G46" s="2">
        <v>1</v>
      </c>
      <c r="H46" s="2" t="s">
        <v>65</v>
      </c>
      <c r="I46" t="str">
        <f t="shared" si="0"/>
        <v>Sade</v>
      </c>
      <c r="J46" t="str">
        <f t="shared" si="1"/>
        <v>Bassey</v>
      </c>
      <c r="K46" t="str">
        <f t="shared" si="7"/>
        <v>sade. bassey@name.com</v>
      </c>
      <c r="L46">
        <f t="shared" si="2"/>
        <v>11</v>
      </c>
      <c r="M46" t="str">
        <f t="shared" si="3"/>
        <v>HR</v>
      </c>
      <c r="N46" t="str">
        <f t="shared" si="4"/>
        <v>hr</v>
      </c>
      <c r="O46" t="str">
        <f t="shared" si="5"/>
        <v>Hr</v>
      </c>
      <c r="P46" t="str">
        <f t="shared" si="6"/>
        <v>Sade Bassey</v>
      </c>
      <c r="Q46" s="6"/>
    </row>
    <row r="47" spans="1:17">
      <c r="A47" s="2" t="s">
        <v>124</v>
      </c>
      <c r="B47" s="2" t="s">
        <v>84</v>
      </c>
      <c r="C47" s="2" t="s">
        <v>61</v>
      </c>
      <c r="D47" s="2" t="s">
        <v>88</v>
      </c>
      <c r="E47" s="2" t="s">
        <v>52</v>
      </c>
      <c r="F47" s="5">
        <v>363350</v>
      </c>
      <c r="G47" s="2">
        <v>1</v>
      </c>
      <c r="H47" s="2" t="s">
        <v>58</v>
      </c>
      <c r="I47" t="str">
        <f t="shared" si="0"/>
        <v>Chika</v>
      </c>
      <c r="J47" t="str">
        <f t="shared" si="1"/>
        <v>Umeh</v>
      </c>
      <c r="K47" t="str">
        <f t="shared" si="7"/>
        <v>chika. umeh@name.com</v>
      </c>
      <c r="L47">
        <f t="shared" si="2"/>
        <v>10</v>
      </c>
      <c r="M47" t="str">
        <f t="shared" si="3"/>
        <v>SALES</v>
      </c>
      <c r="N47" t="str">
        <f t="shared" si="4"/>
        <v>sales</v>
      </c>
      <c r="O47" t="str">
        <f t="shared" si="5"/>
        <v>Sales</v>
      </c>
      <c r="P47" t="str">
        <f t="shared" si="6"/>
        <v>Chika Umeh</v>
      </c>
      <c r="Q47" s="6"/>
    </row>
    <row r="48" spans="1:17">
      <c r="A48" s="2" t="s">
        <v>125</v>
      </c>
      <c r="B48" s="2" t="s">
        <v>70</v>
      </c>
      <c r="C48" s="2" t="s">
        <v>80</v>
      </c>
      <c r="D48" s="2" t="s">
        <v>56</v>
      </c>
      <c r="E48" s="2" t="s">
        <v>52</v>
      </c>
      <c r="F48" s="5">
        <v>428005</v>
      </c>
      <c r="G48" s="2">
        <v>4</v>
      </c>
      <c r="H48" s="2" t="s">
        <v>65</v>
      </c>
      <c r="I48" t="str">
        <f t="shared" si="0"/>
        <v>Tunde</v>
      </c>
      <c r="J48" t="str">
        <f t="shared" si="1"/>
        <v>Salisu</v>
      </c>
      <c r="K48" t="str">
        <f t="shared" si="7"/>
        <v>tunde. salisu@name.com</v>
      </c>
      <c r="L48">
        <f t="shared" si="2"/>
        <v>12</v>
      </c>
      <c r="M48" t="str">
        <f t="shared" si="3"/>
        <v>HR</v>
      </c>
      <c r="N48" t="str">
        <f t="shared" si="4"/>
        <v>hr</v>
      </c>
      <c r="O48" t="str">
        <f t="shared" si="5"/>
        <v>Hr</v>
      </c>
      <c r="P48" t="str">
        <f t="shared" si="6"/>
        <v>Tunde Salisu</v>
      </c>
      <c r="Q48" s="6"/>
    </row>
    <row r="49" spans="1:17">
      <c r="A49" s="2" t="s">
        <v>126</v>
      </c>
      <c r="B49" s="2" t="s">
        <v>127</v>
      </c>
      <c r="C49" s="2" t="s">
        <v>80</v>
      </c>
      <c r="D49" s="2" t="s">
        <v>71</v>
      </c>
      <c r="E49" s="2" t="s">
        <v>57</v>
      </c>
      <c r="F49" s="5">
        <v>326652</v>
      </c>
      <c r="G49" s="2">
        <v>6</v>
      </c>
      <c r="H49" s="2" t="s">
        <v>65</v>
      </c>
      <c r="I49" t="str">
        <f t="shared" si="0"/>
        <v>Emeka</v>
      </c>
      <c r="J49" t="str">
        <f t="shared" si="1"/>
        <v>John</v>
      </c>
      <c r="K49" t="str">
        <f t="shared" si="7"/>
        <v>emeka. john@name.com</v>
      </c>
      <c r="L49">
        <f t="shared" si="2"/>
        <v>10</v>
      </c>
      <c r="M49" t="str">
        <f t="shared" si="3"/>
        <v>HR</v>
      </c>
      <c r="N49" t="str">
        <f t="shared" si="4"/>
        <v>hr</v>
      </c>
      <c r="O49" t="str">
        <f t="shared" si="5"/>
        <v>Hr</v>
      </c>
      <c r="P49" t="str">
        <f t="shared" si="6"/>
        <v>Emeka John</v>
      </c>
      <c r="Q49" s="6"/>
    </row>
    <row r="50" spans="1:17">
      <c r="A50" s="2" t="s">
        <v>128</v>
      </c>
      <c r="B50" s="2" t="s">
        <v>49</v>
      </c>
      <c r="C50" s="2" t="s">
        <v>80</v>
      </c>
      <c r="D50" s="2" t="s">
        <v>88</v>
      </c>
      <c r="E50" s="2" t="s">
        <v>57</v>
      </c>
      <c r="F50" s="5">
        <v>421377</v>
      </c>
      <c r="G50" s="2">
        <v>4</v>
      </c>
      <c r="H50" s="2" t="s">
        <v>53</v>
      </c>
      <c r="I50" t="str">
        <f t="shared" si="0"/>
        <v>Sade</v>
      </c>
      <c r="J50" t="str">
        <f t="shared" si="1"/>
        <v>Bassey</v>
      </c>
      <c r="K50" t="str">
        <f t="shared" si="7"/>
        <v>sade. bassey@name.com</v>
      </c>
      <c r="L50">
        <f t="shared" si="2"/>
        <v>11</v>
      </c>
      <c r="M50" t="str">
        <f t="shared" si="3"/>
        <v>HR</v>
      </c>
      <c r="N50" t="str">
        <f t="shared" si="4"/>
        <v>hr</v>
      </c>
      <c r="O50" t="str">
        <f t="shared" si="5"/>
        <v>Hr</v>
      </c>
      <c r="P50" t="str">
        <f t="shared" si="6"/>
        <v>Sade Bassey</v>
      </c>
      <c r="Q50" s="6"/>
    </row>
    <row r="51" spans="1:17">
      <c r="A51" s="2" t="s">
        <v>129</v>
      </c>
      <c r="B51" s="2" t="s">
        <v>127</v>
      </c>
      <c r="C51" s="2" t="s">
        <v>63</v>
      </c>
      <c r="D51" s="2" t="s">
        <v>56</v>
      </c>
      <c r="E51" s="2" t="s">
        <v>52</v>
      </c>
      <c r="F51" s="5">
        <v>433017</v>
      </c>
      <c r="G51" s="2">
        <v>3</v>
      </c>
      <c r="H51" s="2" t="s">
        <v>58</v>
      </c>
      <c r="I51" t="str">
        <f t="shared" si="0"/>
        <v>Emeka</v>
      </c>
      <c r="J51" t="str">
        <f t="shared" si="1"/>
        <v>John</v>
      </c>
      <c r="K51" t="str">
        <f t="shared" si="7"/>
        <v>emeka. john@name.com</v>
      </c>
      <c r="L51">
        <f t="shared" si="2"/>
        <v>10</v>
      </c>
      <c r="M51" t="str">
        <f t="shared" si="3"/>
        <v>FINANCE</v>
      </c>
      <c r="N51" t="str">
        <f t="shared" si="4"/>
        <v>finance</v>
      </c>
      <c r="O51" t="str">
        <f t="shared" si="5"/>
        <v>Finance</v>
      </c>
      <c r="P51" t="str">
        <f t="shared" si="6"/>
        <v>Emeka John</v>
      </c>
      <c r="Q51" s="6"/>
    </row>
    <row r="52" spans="1:17">
      <c r="A52" s="2" t="s">
        <v>130</v>
      </c>
      <c r="B52" s="2" t="s">
        <v>73</v>
      </c>
      <c r="C52" s="2" t="s">
        <v>80</v>
      </c>
      <c r="D52" s="2" t="s">
        <v>85</v>
      </c>
      <c r="E52" s="2" t="s">
        <v>52</v>
      </c>
      <c r="F52" s="5">
        <v>353050</v>
      </c>
      <c r="G52" s="2">
        <v>7</v>
      </c>
      <c r="H52" s="2" t="s">
        <v>65</v>
      </c>
      <c r="I52" t="str">
        <f t="shared" si="0"/>
        <v>James</v>
      </c>
      <c r="J52" t="str">
        <f t="shared" si="1"/>
        <v>Obi</v>
      </c>
      <c r="K52" t="str">
        <f t="shared" si="7"/>
        <v>james. obi@name.com</v>
      </c>
      <c r="L52">
        <f t="shared" si="2"/>
        <v>9</v>
      </c>
      <c r="M52" t="str">
        <f t="shared" si="3"/>
        <v>HR</v>
      </c>
      <c r="N52" t="str">
        <f t="shared" si="4"/>
        <v>hr</v>
      </c>
      <c r="O52" t="str">
        <f t="shared" si="5"/>
        <v>Hr</v>
      </c>
      <c r="P52" t="str">
        <f t="shared" si="6"/>
        <v>James Obi</v>
      </c>
      <c r="Q52" s="6"/>
    </row>
    <row r="53" spans="1:17">
      <c r="A53" s="2" t="s">
        <v>131</v>
      </c>
      <c r="B53" s="2" t="s">
        <v>103</v>
      </c>
      <c r="C53" s="2" t="s">
        <v>50</v>
      </c>
      <c r="D53" s="2" t="s">
        <v>56</v>
      </c>
      <c r="E53" s="2" t="s">
        <v>52</v>
      </c>
      <c r="F53" s="5">
        <v>450941</v>
      </c>
      <c r="G53" s="2">
        <v>3</v>
      </c>
      <c r="H53" s="2" t="s">
        <v>65</v>
      </c>
      <c r="I53" t="str">
        <f t="shared" si="0"/>
        <v>Ngozi</v>
      </c>
      <c r="J53" t="str">
        <f t="shared" si="1"/>
        <v>Bello</v>
      </c>
      <c r="K53" t="str">
        <f t="shared" si="7"/>
        <v>ngozi. bello@name.com</v>
      </c>
      <c r="L53">
        <f t="shared" si="2"/>
        <v>11</v>
      </c>
      <c r="M53" t="str">
        <f t="shared" si="3"/>
        <v>IT</v>
      </c>
      <c r="N53" t="str">
        <f t="shared" si="4"/>
        <v>it</v>
      </c>
      <c r="O53" t="str">
        <f t="shared" si="5"/>
        <v>It</v>
      </c>
      <c r="P53" t="str">
        <f t="shared" si="6"/>
        <v>Ngozi Bello</v>
      </c>
      <c r="Q53" s="6"/>
    </row>
    <row r="54" spans="1:17">
      <c r="A54" s="2" t="s">
        <v>132</v>
      </c>
      <c r="B54" s="2" t="s">
        <v>60</v>
      </c>
      <c r="C54" s="2" t="s">
        <v>63</v>
      </c>
      <c r="D54" s="2" t="s">
        <v>85</v>
      </c>
      <c r="E54" s="2" t="s">
        <v>52</v>
      </c>
      <c r="F54" s="5">
        <v>337560</v>
      </c>
      <c r="G54" s="2">
        <v>2</v>
      </c>
      <c r="H54" s="2" t="s">
        <v>58</v>
      </c>
      <c r="I54" t="str">
        <f t="shared" si="0"/>
        <v>Faith</v>
      </c>
      <c r="J54" t="str">
        <f t="shared" si="1"/>
        <v>Udo</v>
      </c>
      <c r="K54" t="str">
        <f t="shared" si="7"/>
        <v>faith. udo@name.com</v>
      </c>
      <c r="L54">
        <f t="shared" si="2"/>
        <v>9</v>
      </c>
      <c r="M54" t="str">
        <f t="shared" si="3"/>
        <v>FINANCE</v>
      </c>
      <c r="N54" t="str">
        <f t="shared" si="4"/>
        <v>finance</v>
      </c>
      <c r="O54" t="str">
        <f t="shared" si="5"/>
        <v>Finance</v>
      </c>
      <c r="P54" t="str">
        <f t="shared" si="6"/>
        <v>Faith Udo</v>
      </c>
      <c r="Q54" s="6"/>
    </row>
    <row r="55" spans="1:17">
      <c r="A55" s="2" t="s">
        <v>133</v>
      </c>
      <c r="B55" s="2" t="s">
        <v>49</v>
      </c>
      <c r="C55" s="2" t="s">
        <v>61</v>
      </c>
      <c r="D55" s="2" t="s">
        <v>99</v>
      </c>
      <c r="E55" s="2" t="s">
        <v>57</v>
      </c>
      <c r="F55" s="5">
        <v>325849</v>
      </c>
      <c r="G55" s="2">
        <v>2</v>
      </c>
      <c r="H55" s="2" t="s">
        <v>68</v>
      </c>
      <c r="I55" t="str">
        <f t="shared" si="0"/>
        <v>Sade</v>
      </c>
      <c r="J55" t="str">
        <f t="shared" si="1"/>
        <v>Bassey</v>
      </c>
      <c r="K55" t="str">
        <f t="shared" si="7"/>
        <v>sade. bassey@name.com</v>
      </c>
      <c r="L55">
        <f t="shared" si="2"/>
        <v>11</v>
      </c>
      <c r="M55" t="str">
        <f t="shared" si="3"/>
        <v>SALES</v>
      </c>
      <c r="N55" t="str">
        <f t="shared" si="4"/>
        <v>sales</v>
      </c>
      <c r="O55" t="str">
        <f t="shared" si="5"/>
        <v>Sales</v>
      </c>
      <c r="P55" t="str">
        <f t="shared" si="6"/>
        <v>Sade Bassey</v>
      </c>
      <c r="Q55" s="6"/>
    </row>
    <row r="56" spans="1:17">
      <c r="A56" s="2" t="s">
        <v>134</v>
      </c>
      <c r="B56" s="2" t="s">
        <v>127</v>
      </c>
      <c r="C56" s="2" t="s">
        <v>55</v>
      </c>
      <c r="D56" s="2" t="s">
        <v>99</v>
      </c>
      <c r="E56" s="2" t="s">
        <v>57</v>
      </c>
      <c r="F56" s="5">
        <v>252488</v>
      </c>
      <c r="G56" s="2">
        <v>5</v>
      </c>
      <c r="H56" s="2" t="s">
        <v>65</v>
      </c>
      <c r="I56" t="str">
        <f t="shared" si="0"/>
        <v>Emeka</v>
      </c>
      <c r="J56" t="str">
        <f t="shared" si="1"/>
        <v>John</v>
      </c>
      <c r="K56" t="str">
        <f t="shared" si="7"/>
        <v>emeka. john@name.com</v>
      </c>
      <c r="L56">
        <f t="shared" si="2"/>
        <v>10</v>
      </c>
      <c r="M56" t="str">
        <f t="shared" si="3"/>
        <v>MARKETING</v>
      </c>
      <c r="N56" t="str">
        <f t="shared" si="4"/>
        <v>marketing</v>
      </c>
      <c r="O56" t="str">
        <f t="shared" si="5"/>
        <v>Marketing</v>
      </c>
      <c r="P56" t="str">
        <f t="shared" si="6"/>
        <v>Emeka John</v>
      </c>
      <c r="Q56" s="6"/>
    </row>
    <row r="57" spans="1:17">
      <c r="A57" s="2" t="s">
        <v>135</v>
      </c>
      <c r="B57" s="2" t="s">
        <v>127</v>
      </c>
      <c r="C57" s="2" t="s">
        <v>63</v>
      </c>
      <c r="D57" s="2" t="s">
        <v>82</v>
      </c>
      <c r="E57" s="2" t="s">
        <v>57</v>
      </c>
      <c r="F57" s="5">
        <v>261616</v>
      </c>
      <c r="G57" s="2">
        <v>2</v>
      </c>
      <c r="H57" s="2" t="s">
        <v>58</v>
      </c>
      <c r="I57" t="str">
        <f t="shared" si="0"/>
        <v>Emeka</v>
      </c>
      <c r="J57" t="str">
        <f t="shared" si="1"/>
        <v>John</v>
      </c>
      <c r="K57" t="str">
        <f t="shared" si="7"/>
        <v>emeka. john@name.com</v>
      </c>
      <c r="L57">
        <f t="shared" si="2"/>
        <v>10</v>
      </c>
      <c r="M57" t="str">
        <f t="shared" si="3"/>
        <v>FINANCE</v>
      </c>
      <c r="N57" t="str">
        <f t="shared" si="4"/>
        <v>finance</v>
      </c>
      <c r="O57" t="str">
        <f t="shared" si="5"/>
        <v>Finance</v>
      </c>
      <c r="P57" t="str">
        <f t="shared" si="6"/>
        <v>Emeka John</v>
      </c>
      <c r="Q57" s="6"/>
    </row>
    <row r="58" spans="1:17">
      <c r="A58" s="2" t="s">
        <v>136</v>
      </c>
      <c r="B58" s="2" t="s">
        <v>73</v>
      </c>
      <c r="C58" s="2" t="s">
        <v>55</v>
      </c>
      <c r="D58" s="2" t="s">
        <v>82</v>
      </c>
      <c r="E58" s="2" t="s">
        <v>52</v>
      </c>
      <c r="F58" s="5">
        <v>296968</v>
      </c>
      <c r="G58" s="2">
        <v>4</v>
      </c>
      <c r="H58" s="2" t="s">
        <v>58</v>
      </c>
      <c r="I58" t="str">
        <f t="shared" si="0"/>
        <v>James</v>
      </c>
      <c r="J58" t="str">
        <f t="shared" si="1"/>
        <v>Obi</v>
      </c>
      <c r="K58" t="str">
        <f t="shared" si="7"/>
        <v>james. obi@name.com</v>
      </c>
      <c r="L58">
        <f t="shared" si="2"/>
        <v>9</v>
      </c>
      <c r="M58" t="str">
        <f t="shared" si="3"/>
        <v>MARKETING</v>
      </c>
      <c r="N58" t="str">
        <f t="shared" si="4"/>
        <v>marketing</v>
      </c>
      <c r="O58" t="str">
        <f t="shared" si="5"/>
        <v>Marketing</v>
      </c>
      <c r="P58" t="str">
        <f t="shared" si="6"/>
        <v>James Obi</v>
      </c>
      <c r="Q58" s="6"/>
    </row>
    <row r="59" spans="1:17">
      <c r="A59" s="2" t="s">
        <v>137</v>
      </c>
      <c r="B59" s="2" t="s">
        <v>127</v>
      </c>
      <c r="C59" s="2" t="s">
        <v>50</v>
      </c>
      <c r="D59" s="2" t="s">
        <v>82</v>
      </c>
      <c r="E59" s="2" t="s">
        <v>57</v>
      </c>
      <c r="F59" s="5">
        <v>369656</v>
      </c>
      <c r="G59" s="2">
        <v>8</v>
      </c>
      <c r="H59" s="2" t="s">
        <v>65</v>
      </c>
      <c r="I59" t="str">
        <f t="shared" si="0"/>
        <v>Emeka</v>
      </c>
      <c r="J59" t="str">
        <f t="shared" si="1"/>
        <v>John</v>
      </c>
      <c r="K59" t="str">
        <f t="shared" si="7"/>
        <v>emeka. john@name.com</v>
      </c>
      <c r="L59">
        <f t="shared" si="2"/>
        <v>10</v>
      </c>
      <c r="M59" t="str">
        <f t="shared" si="3"/>
        <v>IT</v>
      </c>
      <c r="N59" t="str">
        <f t="shared" si="4"/>
        <v>it</v>
      </c>
      <c r="O59" t="str">
        <f t="shared" si="5"/>
        <v>It</v>
      </c>
      <c r="P59" t="str">
        <f t="shared" si="6"/>
        <v>Emeka John</v>
      </c>
      <c r="Q59" s="6"/>
    </row>
    <row r="60" spans="1:17">
      <c r="A60" s="2" t="s">
        <v>138</v>
      </c>
      <c r="B60" s="2" t="s">
        <v>103</v>
      </c>
      <c r="C60" s="2" t="s">
        <v>55</v>
      </c>
      <c r="D60" s="2" t="s">
        <v>71</v>
      </c>
      <c r="E60" s="2" t="s">
        <v>52</v>
      </c>
      <c r="F60" s="5">
        <v>385249</v>
      </c>
      <c r="G60" s="2">
        <v>3</v>
      </c>
      <c r="H60" s="2" t="s">
        <v>58</v>
      </c>
      <c r="I60" t="str">
        <f t="shared" si="0"/>
        <v>Ngozi</v>
      </c>
      <c r="J60" t="str">
        <f t="shared" si="1"/>
        <v>Bello</v>
      </c>
      <c r="K60" t="str">
        <f t="shared" si="7"/>
        <v>ngozi. bello@name.com</v>
      </c>
      <c r="L60">
        <f t="shared" si="2"/>
        <v>11</v>
      </c>
      <c r="M60" t="str">
        <f t="shared" si="3"/>
        <v>MARKETING</v>
      </c>
      <c r="N60" t="str">
        <f t="shared" si="4"/>
        <v>marketing</v>
      </c>
      <c r="O60" t="str">
        <f t="shared" si="5"/>
        <v>Marketing</v>
      </c>
      <c r="P60" t="str">
        <f t="shared" si="6"/>
        <v>Ngozi Bello</v>
      </c>
      <c r="Q60" s="6"/>
    </row>
    <row r="61" spans="1:17">
      <c r="A61" s="2" t="s">
        <v>139</v>
      </c>
      <c r="B61" s="2" t="s">
        <v>60</v>
      </c>
      <c r="C61" s="2" t="s">
        <v>50</v>
      </c>
      <c r="D61" s="2" t="s">
        <v>99</v>
      </c>
      <c r="E61" s="2" t="s">
        <v>52</v>
      </c>
      <c r="F61" s="5">
        <v>485946</v>
      </c>
      <c r="G61" s="2">
        <v>4</v>
      </c>
      <c r="H61" s="2" t="s">
        <v>68</v>
      </c>
      <c r="I61" t="str">
        <f t="shared" si="0"/>
        <v>Faith</v>
      </c>
      <c r="J61" t="str">
        <f t="shared" si="1"/>
        <v>Udo</v>
      </c>
      <c r="K61" t="str">
        <f t="shared" si="7"/>
        <v>faith. udo@name.com</v>
      </c>
      <c r="L61">
        <f t="shared" si="2"/>
        <v>9</v>
      </c>
      <c r="M61" t="str">
        <f t="shared" si="3"/>
        <v>IT</v>
      </c>
      <c r="N61" t="str">
        <f t="shared" si="4"/>
        <v>it</v>
      </c>
      <c r="O61" t="str">
        <f t="shared" si="5"/>
        <v>It</v>
      </c>
      <c r="P61" t="str">
        <f t="shared" si="6"/>
        <v>Faith Udo</v>
      </c>
      <c r="Q61" s="6"/>
    </row>
    <row r="62" spans="1:17">
      <c r="A62" s="2" t="s">
        <v>140</v>
      </c>
      <c r="B62" s="2" t="s">
        <v>103</v>
      </c>
      <c r="C62" s="2" t="s">
        <v>63</v>
      </c>
      <c r="D62" s="2" t="s">
        <v>56</v>
      </c>
      <c r="E62" s="2" t="s">
        <v>57</v>
      </c>
      <c r="F62" s="5">
        <v>481575</v>
      </c>
      <c r="G62" s="2">
        <v>3</v>
      </c>
      <c r="H62" s="2" t="s">
        <v>58</v>
      </c>
      <c r="I62" t="str">
        <f t="shared" si="0"/>
        <v>Ngozi</v>
      </c>
      <c r="J62" t="str">
        <f t="shared" si="1"/>
        <v>Bello</v>
      </c>
      <c r="K62" t="str">
        <f t="shared" si="7"/>
        <v>ngozi. bello@name.com</v>
      </c>
      <c r="L62">
        <f t="shared" si="2"/>
        <v>11</v>
      </c>
      <c r="M62" t="str">
        <f t="shared" si="3"/>
        <v>FINANCE</v>
      </c>
      <c r="N62" t="str">
        <f t="shared" si="4"/>
        <v>finance</v>
      </c>
      <c r="O62" t="str">
        <f t="shared" si="5"/>
        <v>Finance</v>
      </c>
      <c r="P62" t="str">
        <f t="shared" si="6"/>
        <v>Ngozi Bello</v>
      </c>
      <c r="Q62" s="6"/>
    </row>
    <row r="63" spans="1:17">
      <c r="A63" s="2" t="s">
        <v>141</v>
      </c>
      <c r="B63" s="2" t="s">
        <v>84</v>
      </c>
      <c r="C63" s="2" t="s">
        <v>50</v>
      </c>
      <c r="D63" s="2" t="s">
        <v>56</v>
      </c>
      <c r="E63" s="2" t="s">
        <v>57</v>
      </c>
      <c r="F63" s="5">
        <v>345273</v>
      </c>
      <c r="G63" s="2">
        <v>6</v>
      </c>
      <c r="H63" s="2" t="s">
        <v>58</v>
      </c>
      <c r="I63" t="str">
        <f t="shared" si="0"/>
        <v>Chika</v>
      </c>
      <c r="J63" t="str">
        <f t="shared" si="1"/>
        <v>Umeh</v>
      </c>
      <c r="K63" t="str">
        <f t="shared" si="7"/>
        <v>chika. umeh@name.com</v>
      </c>
      <c r="L63">
        <f t="shared" si="2"/>
        <v>10</v>
      </c>
      <c r="M63" t="str">
        <f t="shared" si="3"/>
        <v>IT</v>
      </c>
      <c r="N63" t="str">
        <f t="shared" si="4"/>
        <v>it</v>
      </c>
      <c r="O63" t="str">
        <f t="shared" si="5"/>
        <v>It</v>
      </c>
      <c r="P63" t="str">
        <f t="shared" si="6"/>
        <v>Chika Umeh</v>
      </c>
      <c r="Q63" s="6"/>
    </row>
    <row r="64" spans="1:17">
      <c r="A64" s="2" t="s">
        <v>142</v>
      </c>
      <c r="B64" s="2" t="s">
        <v>94</v>
      </c>
      <c r="C64" s="2" t="s">
        <v>50</v>
      </c>
      <c r="D64" s="2" t="s">
        <v>77</v>
      </c>
      <c r="E64" s="2" t="s">
        <v>57</v>
      </c>
      <c r="F64" s="5">
        <v>201172</v>
      </c>
      <c r="G64" s="2">
        <v>8</v>
      </c>
      <c r="H64" s="2" t="s">
        <v>68</v>
      </c>
      <c r="I64" t="str">
        <f t="shared" si="0"/>
        <v>Maria</v>
      </c>
      <c r="J64" t="str">
        <f t="shared" si="1"/>
        <v>Okafor</v>
      </c>
      <c r="K64" t="str">
        <f t="shared" si="7"/>
        <v>maria. okafor@name.com</v>
      </c>
      <c r="L64">
        <f t="shared" si="2"/>
        <v>12</v>
      </c>
      <c r="M64" t="str">
        <f t="shared" si="3"/>
        <v>IT</v>
      </c>
      <c r="N64" t="str">
        <f t="shared" si="4"/>
        <v>it</v>
      </c>
      <c r="O64" t="str">
        <f t="shared" si="5"/>
        <v>It</v>
      </c>
      <c r="P64" t="str">
        <f t="shared" si="6"/>
        <v>Maria Okafor</v>
      </c>
      <c r="Q64" s="6"/>
    </row>
    <row r="65" spans="1:17">
      <c r="A65" s="2" t="s">
        <v>143</v>
      </c>
      <c r="B65" s="2" t="s">
        <v>70</v>
      </c>
      <c r="C65" s="2" t="s">
        <v>55</v>
      </c>
      <c r="D65" s="2" t="s">
        <v>64</v>
      </c>
      <c r="E65" s="2" t="s">
        <v>57</v>
      </c>
      <c r="F65" s="5">
        <v>321800</v>
      </c>
      <c r="G65" s="2">
        <v>7</v>
      </c>
      <c r="H65" s="2" t="s">
        <v>53</v>
      </c>
      <c r="I65" t="str">
        <f t="shared" si="0"/>
        <v>Tunde</v>
      </c>
      <c r="J65" t="str">
        <f t="shared" si="1"/>
        <v>Salisu</v>
      </c>
      <c r="K65" t="str">
        <f t="shared" si="7"/>
        <v>tunde. salisu@name.com</v>
      </c>
      <c r="L65">
        <f t="shared" si="2"/>
        <v>12</v>
      </c>
      <c r="M65" t="str">
        <f t="shared" si="3"/>
        <v>MARKETING</v>
      </c>
      <c r="N65" t="str">
        <f t="shared" si="4"/>
        <v>marketing</v>
      </c>
      <c r="O65" t="str">
        <f t="shared" si="5"/>
        <v>Marketing</v>
      </c>
      <c r="P65" t="str">
        <f t="shared" si="6"/>
        <v>Tunde Salisu</v>
      </c>
      <c r="Q65" s="6"/>
    </row>
    <row r="66" spans="1:17">
      <c r="A66" s="2" t="s">
        <v>144</v>
      </c>
      <c r="B66" s="2" t="s">
        <v>67</v>
      </c>
      <c r="C66" s="2" t="s">
        <v>61</v>
      </c>
      <c r="D66" s="2" t="s">
        <v>96</v>
      </c>
      <c r="E66" s="2" t="s">
        <v>57</v>
      </c>
      <c r="F66" s="5">
        <v>478662</v>
      </c>
      <c r="G66" s="2">
        <v>2</v>
      </c>
      <c r="H66" s="2" t="s">
        <v>68</v>
      </c>
      <c r="I66" t="str">
        <f t="shared" si="0"/>
        <v>Ibrahim</v>
      </c>
      <c r="J66" t="str">
        <f t="shared" si="1"/>
        <v>Musa</v>
      </c>
      <c r="K66" t="str">
        <f t="shared" si="7"/>
        <v>ibrahim. musa@name.com</v>
      </c>
      <c r="L66">
        <f t="shared" si="2"/>
        <v>12</v>
      </c>
      <c r="M66" t="str">
        <f t="shared" si="3"/>
        <v>SALES</v>
      </c>
      <c r="N66" t="str">
        <f t="shared" si="4"/>
        <v>sales</v>
      </c>
      <c r="O66" t="str">
        <f t="shared" si="5"/>
        <v>Sales</v>
      </c>
      <c r="P66" t="str">
        <f t="shared" si="6"/>
        <v>Ibrahim Musa</v>
      </c>
      <c r="Q66" s="6"/>
    </row>
    <row r="67" spans="1:17">
      <c r="A67" s="2" t="s">
        <v>145</v>
      </c>
      <c r="B67" s="2" t="s">
        <v>73</v>
      </c>
      <c r="C67" s="2" t="s">
        <v>80</v>
      </c>
      <c r="D67" s="2" t="s">
        <v>96</v>
      </c>
      <c r="E67" s="2" t="s">
        <v>57</v>
      </c>
      <c r="F67" s="5">
        <v>447144</v>
      </c>
      <c r="G67" s="2">
        <v>10</v>
      </c>
      <c r="H67" s="2" t="s">
        <v>75</v>
      </c>
      <c r="I67" t="str">
        <f t="shared" ref="I67:I101" si="8">TRIM(LEFT(B67,FIND(" ",B67)-1))</f>
        <v>James</v>
      </c>
      <c r="J67" t="str">
        <f t="shared" ref="J67:J101" si="9">TRIM(MID(B67,FIND(" ",B67)+1,LEN(B67)))</f>
        <v>Obi</v>
      </c>
      <c r="K67" t="str">
        <f t="shared" si="7"/>
        <v>james. obi@name.com</v>
      </c>
      <c r="L67">
        <f t="shared" ref="L67:L101" si="10">LEN(B67)</f>
        <v>9</v>
      </c>
      <c r="M67" t="str">
        <f t="shared" ref="K67:M112" si="11">UPPER(C67)</f>
        <v>HR</v>
      </c>
      <c r="N67" t="str">
        <f t="shared" ref="L67:N121" si="12">LOWER(C67)</f>
        <v>hr</v>
      </c>
      <c r="O67" t="str">
        <f t="shared" ref="O67:O101" si="13">PROPER(C67)</f>
        <v>Hr</v>
      </c>
      <c r="P67" t="str">
        <f t="shared" ref="P67:P101" si="14">TRIM(B67)</f>
        <v>James Obi</v>
      </c>
      <c r="Q67" s="6"/>
    </row>
    <row r="68" spans="1:17">
      <c r="A68" s="2" t="s">
        <v>146</v>
      </c>
      <c r="B68" s="2" t="s">
        <v>60</v>
      </c>
      <c r="C68" s="2" t="s">
        <v>63</v>
      </c>
      <c r="D68" s="2" t="s">
        <v>85</v>
      </c>
      <c r="E68" s="2" t="s">
        <v>57</v>
      </c>
      <c r="F68" s="5">
        <v>367942</v>
      </c>
      <c r="G68" s="2">
        <v>8</v>
      </c>
      <c r="H68" s="2" t="s">
        <v>53</v>
      </c>
      <c r="I68" t="str">
        <f t="shared" si="8"/>
        <v>Faith</v>
      </c>
      <c r="J68" t="str">
        <f t="shared" si="9"/>
        <v>Udo</v>
      </c>
      <c r="K68" t="str">
        <f t="shared" ref="K68:K101" si="15">LOWER(I68&amp;". "&amp;J68&amp;"@name.com")</f>
        <v>faith. udo@name.com</v>
      </c>
      <c r="L68">
        <f t="shared" si="10"/>
        <v>9</v>
      </c>
      <c r="M68" t="str">
        <f t="shared" si="11"/>
        <v>FINANCE</v>
      </c>
      <c r="N68" t="str">
        <f t="shared" si="12"/>
        <v>finance</v>
      </c>
      <c r="O68" t="str">
        <f t="shared" si="13"/>
        <v>Finance</v>
      </c>
      <c r="P68" t="str">
        <f t="shared" si="14"/>
        <v>Faith Udo</v>
      </c>
      <c r="Q68" s="6"/>
    </row>
    <row r="69" spans="1:17">
      <c r="A69" s="2" t="s">
        <v>147</v>
      </c>
      <c r="B69" s="2" t="s">
        <v>103</v>
      </c>
      <c r="C69" s="2" t="s">
        <v>61</v>
      </c>
      <c r="D69" s="2" t="s">
        <v>99</v>
      </c>
      <c r="E69" s="2" t="s">
        <v>52</v>
      </c>
      <c r="F69" s="5">
        <v>225459</v>
      </c>
      <c r="G69" s="2">
        <v>2</v>
      </c>
      <c r="H69" s="2" t="s">
        <v>68</v>
      </c>
      <c r="I69" t="str">
        <f t="shared" si="8"/>
        <v>Ngozi</v>
      </c>
      <c r="J69" t="str">
        <f t="shared" si="9"/>
        <v>Bello</v>
      </c>
      <c r="K69" t="str">
        <f t="shared" si="15"/>
        <v>ngozi. bello@name.com</v>
      </c>
      <c r="L69">
        <f t="shared" si="10"/>
        <v>11</v>
      </c>
      <c r="M69" t="str">
        <f t="shared" si="11"/>
        <v>SALES</v>
      </c>
      <c r="N69" t="str">
        <f t="shared" si="12"/>
        <v>sales</v>
      </c>
      <c r="O69" t="str">
        <f t="shared" si="13"/>
        <v>Sales</v>
      </c>
      <c r="P69" t="str">
        <f t="shared" si="14"/>
        <v>Ngozi Bello</v>
      </c>
      <c r="Q69" s="6"/>
    </row>
    <row r="70" spans="1:17">
      <c r="A70" s="2" t="s">
        <v>148</v>
      </c>
      <c r="B70" s="2" t="s">
        <v>70</v>
      </c>
      <c r="C70" s="2" t="s">
        <v>50</v>
      </c>
      <c r="D70" s="2" t="s">
        <v>96</v>
      </c>
      <c r="E70" s="2" t="s">
        <v>52</v>
      </c>
      <c r="F70" s="5">
        <v>334185</v>
      </c>
      <c r="G70" s="2">
        <v>2</v>
      </c>
      <c r="H70" s="2" t="s">
        <v>53</v>
      </c>
      <c r="I70" t="str">
        <f t="shared" si="8"/>
        <v>Tunde</v>
      </c>
      <c r="J70" t="str">
        <f t="shared" si="9"/>
        <v>Salisu</v>
      </c>
      <c r="K70" t="str">
        <f t="shared" si="15"/>
        <v>tunde. salisu@name.com</v>
      </c>
      <c r="L70">
        <f t="shared" si="10"/>
        <v>12</v>
      </c>
      <c r="M70" t="str">
        <f t="shared" si="11"/>
        <v>IT</v>
      </c>
      <c r="N70" t="str">
        <f t="shared" si="12"/>
        <v>it</v>
      </c>
      <c r="O70" t="str">
        <f t="shared" si="13"/>
        <v>It</v>
      </c>
      <c r="P70" t="str">
        <f t="shared" si="14"/>
        <v>Tunde Salisu</v>
      </c>
      <c r="Q70" s="6"/>
    </row>
    <row r="71" spans="1:17">
      <c r="A71" s="2" t="s">
        <v>149</v>
      </c>
      <c r="B71" s="2" t="s">
        <v>84</v>
      </c>
      <c r="C71" s="2" t="s">
        <v>50</v>
      </c>
      <c r="D71" s="2" t="s">
        <v>99</v>
      </c>
      <c r="E71" s="2" t="s">
        <v>57</v>
      </c>
      <c r="F71" s="5">
        <v>329104</v>
      </c>
      <c r="G71" s="2">
        <v>2</v>
      </c>
      <c r="H71" s="2" t="s">
        <v>65</v>
      </c>
      <c r="I71" t="str">
        <f t="shared" si="8"/>
        <v>Chika</v>
      </c>
      <c r="J71" t="str">
        <f t="shared" si="9"/>
        <v>Umeh</v>
      </c>
      <c r="K71" t="str">
        <f t="shared" si="15"/>
        <v>chika. umeh@name.com</v>
      </c>
      <c r="L71">
        <f t="shared" si="10"/>
        <v>10</v>
      </c>
      <c r="M71" t="str">
        <f t="shared" si="11"/>
        <v>IT</v>
      </c>
      <c r="N71" t="str">
        <f t="shared" si="12"/>
        <v>it</v>
      </c>
      <c r="O71" t="str">
        <f t="shared" si="13"/>
        <v>It</v>
      </c>
      <c r="P71" t="str">
        <f t="shared" si="14"/>
        <v>Chika Umeh</v>
      </c>
      <c r="Q71" s="6"/>
    </row>
    <row r="72" spans="1:17">
      <c r="A72" s="2" t="s">
        <v>150</v>
      </c>
      <c r="B72" s="2" t="s">
        <v>67</v>
      </c>
      <c r="C72" s="2" t="s">
        <v>50</v>
      </c>
      <c r="D72" s="2" t="s">
        <v>51</v>
      </c>
      <c r="E72" s="2" t="s">
        <v>57</v>
      </c>
      <c r="F72" s="5">
        <v>253559</v>
      </c>
      <c r="G72" s="2">
        <v>4</v>
      </c>
      <c r="H72" s="2" t="s">
        <v>75</v>
      </c>
      <c r="I72" t="str">
        <f t="shared" si="8"/>
        <v>Ibrahim</v>
      </c>
      <c r="J72" t="str">
        <f t="shared" si="9"/>
        <v>Musa</v>
      </c>
      <c r="K72" t="str">
        <f t="shared" si="15"/>
        <v>ibrahim. musa@name.com</v>
      </c>
      <c r="L72">
        <f t="shared" si="10"/>
        <v>12</v>
      </c>
      <c r="M72" t="str">
        <f t="shared" si="11"/>
        <v>IT</v>
      </c>
      <c r="N72" t="str">
        <f t="shared" si="12"/>
        <v>it</v>
      </c>
      <c r="O72" t="str">
        <f t="shared" si="13"/>
        <v>It</v>
      </c>
      <c r="P72" t="str">
        <f t="shared" si="14"/>
        <v>Ibrahim Musa</v>
      </c>
      <c r="Q72" s="6"/>
    </row>
    <row r="73" spans="1:17">
      <c r="A73" s="2" t="s">
        <v>151</v>
      </c>
      <c r="B73" s="2" t="s">
        <v>67</v>
      </c>
      <c r="C73" s="2" t="s">
        <v>55</v>
      </c>
      <c r="D73" s="2" t="s">
        <v>51</v>
      </c>
      <c r="E73" s="2" t="s">
        <v>52</v>
      </c>
      <c r="F73" s="5">
        <v>203632</v>
      </c>
      <c r="G73" s="2">
        <v>4</v>
      </c>
      <c r="H73" s="2" t="s">
        <v>58</v>
      </c>
      <c r="I73" t="str">
        <f t="shared" si="8"/>
        <v>Ibrahim</v>
      </c>
      <c r="J73" t="str">
        <f t="shared" si="9"/>
        <v>Musa</v>
      </c>
      <c r="K73" t="str">
        <f t="shared" si="15"/>
        <v>ibrahim. musa@name.com</v>
      </c>
      <c r="L73">
        <f t="shared" si="10"/>
        <v>12</v>
      </c>
      <c r="M73" t="str">
        <f t="shared" si="11"/>
        <v>MARKETING</v>
      </c>
      <c r="N73" t="str">
        <f t="shared" si="12"/>
        <v>marketing</v>
      </c>
      <c r="O73" t="str">
        <f t="shared" si="13"/>
        <v>Marketing</v>
      </c>
      <c r="P73" t="str">
        <f t="shared" si="14"/>
        <v>Ibrahim Musa</v>
      </c>
      <c r="Q73" s="6"/>
    </row>
    <row r="74" spans="1:17">
      <c r="A74" s="2" t="s">
        <v>152</v>
      </c>
      <c r="B74" s="2" t="s">
        <v>49</v>
      </c>
      <c r="C74" s="2" t="s">
        <v>50</v>
      </c>
      <c r="D74" s="2" t="s">
        <v>82</v>
      </c>
      <c r="E74" s="2" t="s">
        <v>57</v>
      </c>
      <c r="F74" s="5">
        <v>404012</v>
      </c>
      <c r="G74" s="2">
        <v>7</v>
      </c>
      <c r="H74" s="2" t="s">
        <v>68</v>
      </c>
      <c r="I74" t="str">
        <f t="shared" si="8"/>
        <v>Sade</v>
      </c>
      <c r="J74" t="str">
        <f t="shared" si="9"/>
        <v>Bassey</v>
      </c>
      <c r="K74" t="str">
        <f t="shared" si="15"/>
        <v>sade. bassey@name.com</v>
      </c>
      <c r="L74">
        <f t="shared" si="10"/>
        <v>11</v>
      </c>
      <c r="M74" t="str">
        <f t="shared" si="11"/>
        <v>IT</v>
      </c>
      <c r="N74" t="str">
        <f t="shared" si="12"/>
        <v>it</v>
      </c>
      <c r="O74" t="str">
        <f t="shared" si="13"/>
        <v>It</v>
      </c>
      <c r="P74" t="str">
        <f t="shared" si="14"/>
        <v>Sade Bassey</v>
      </c>
      <c r="Q74" s="6"/>
    </row>
    <row r="75" spans="1:17">
      <c r="A75" s="2" t="s">
        <v>153</v>
      </c>
      <c r="B75" s="2" t="s">
        <v>94</v>
      </c>
      <c r="C75" s="2" t="s">
        <v>50</v>
      </c>
      <c r="D75" s="2" t="s">
        <v>99</v>
      </c>
      <c r="E75" s="2" t="s">
        <v>52</v>
      </c>
      <c r="F75" s="5">
        <v>493395</v>
      </c>
      <c r="G75" s="2">
        <v>4</v>
      </c>
      <c r="H75" s="2" t="s">
        <v>53</v>
      </c>
      <c r="I75" t="str">
        <f t="shared" si="8"/>
        <v>Maria</v>
      </c>
      <c r="J75" t="str">
        <f t="shared" si="9"/>
        <v>Okafor</v>
      </c>
      <c r="K75" t="str">
        <f t="shared" si="15"/>
        <v>maria. okafor@name.com</v>
      </c>
      <c r="L75">
        <f t="shared" si="10"/>
        <v>12</v>
      </c>
      <c r="M75" t="str">
        <f t="shared" si="11"/>
        <v>IT</v>
      </c>
      <c r="N75" t="str">
        <f t="shared" si="12"/>
        <v>it</v>
      </c>
      <c r="O75" t="str">
        <f t="shared" si="13"/>
        <v>It</v>
      </c>
      <c r="P75" t="str">
        <f t="shared" si="14"/>
        <v>Maria Okafor</v>
      </c>
      <c r="Q75" s="6"/>
    </row>
    <row r="76" spans="1:17">
      <c r="A76" s="2" t="s">
        <v>154</v>
      </c>
      <c r="B76" s="2" t="s">
        <v>67</v>
      </c>
      <c r="C76" s="2" t="s">
        <v>61</v>
      </c>
      <c r="D76" s="2" t="s">
        <v>82</v>
      </c>
      <c r="E76" s="2" t="s">
        <v>52</v>
      </c>
      <c r="F76" s="5">
        <v>372679</v>
      </c>
      <c r="G76" s="2">
        <v>2</v>
      </c>
      <c r="H76" s="2" t="s">
        <v>53</v>
      </c>
      <c r="I76" t="str">
        <f t="shared" si="8"/>
        <v>Ibrahim</v>
      </c>
      <c r="J76" t="str">
        <f t="shared" si="9"/>
        <v>Musa</v>
      </c>
      <c r="K76" t="str">
        <f t="shared" si="15"/>
        <v>ibrahim. musa@name.com</v>
      </c>
      <c r="L76">
        <f t="shared" si="10"/>
        <v>12</v>
      </c>
      <c r="M76" t="str">
        <f t="shared" si="11"/>
        <v>SALES</v>
      </c>
      <c r="N76" t="str">
        <f t="shared" si="12"/>
        <v>sales</v>
      </c>
      <c r="O76" t="str">
        <f t="shared" si="13"/>
        <v>Sales</v>
      </c>
      <c r="P76" t="str">
        <f t="shared" si="14"/>
        <v>Ibrahim Musa</v>
      </c>
      <c r="Q76" s="6"/>
    </row>
    <row r="77" spans="1:17">
      <c r="A77" s="2" t="s">
        <v>155</v>
      </c>
      <c r="B77" s="2" t="s">
        <v>60</v>
      </c>
      <c r="C77" s="2" t="s">
        <v>80</v>
      </c>
      <c r="D77" s="2" t="s">
        <v>56</v>
      </c>
      <c r="E77" s="2" t="s">
        <v>57</v>
      </c>
      <c r="F77" s="5">
        <v>464770</v>
      </c>
      <c r="G77" s="2">
        <v>9</v>
      </c>
      <c r="H77" s="2" t="s">
        <v>53</v>
      </c>
      <c r="I77" t="str">
        <f t="shared" si="8"/>
        <v>Faith</v>
      </c>
      <c r="J77" t="str">
        <f t="shared" si="9"/>
        <v>Udo</v>
      </c>
      <c r="K77" t="str">
        <f t="shared" si="15"/>
        <v>faith. udo@name.com</v>
      </c>
      <c r="L77">
        <f t="shared" si="10"/>
        <v>9</v>
      </c>
      <c r="M77" t="str">
        <f t="shared" si="11"/>
        <v>HR</v>
      </c>
      <c r="N77" t="str">
        <f t="shared" si="12"/>
        <v>hr</v>
      </c>
      <c r="O77" t="str">
        <f t="shared" si="13"/>
        <v>Hr</v>
      </c>
      <c r="P77" t="str">
        <f t="shared" si="14"/>
        <v>Faith Udo</v>
      </c>
      <c r="Q77" s="6"/>
    </row>
    <row r="78" spans="1:17">
      <c r="A78" s="2" t="s">
        <v>156</v>
      </c>
      <c r="B78" s="2" t="s">
        <v>94</v>
      </c>
      <c r="C78" s="2" t="s">
        <v>61</v>
      </c>
      <c r="D78" s="2" t="s">
        <v>96</v>
      </c>
      <c r="E78" s="2" t="s">
        <v>57</v>
      </c>
      <c r="F78" s="5">
        <v>360225</v>
      </c>
      <c r="G78" s="2">
        <v>3</v>
      </c>
      <c r="H78" s="2" t="s">
        <v>58</v>
      </c>
      <c r="I78" t="str">
        <f t="shared" si="8"/>
        <v>Maria</v>
      </c>
      <c r="J78" t="str">
        <f t="shared" si="9"/>
        <v>Okafor</v>
      </c>
      <c r="K78" t="str">
        <f t="shared" si="15"/>
        <v>maria. okafor@name.com</v>
      </c>
      <c r="L78">
        <f t="shared" si="10"/>
        <v>12</v>
      </c>
      <c r="M78" t="str">
        <f t="shared" si="11"/>
        <v>SALES</v>
      </c>
      <c r="N78" t="str">
        <f t="shared" si="12"/>
        <v>sales</v>
      </c>
      <c r="O78" t="str">
        <f t="shared" si="13"/>
        <v>Sales</v>
      </c>
      <c r="P78" t="str">
        <f t="shared" si="14"/>
        <v>Maria Okafor</v>
      </c>
      <c r="Q78" s="6"/>
    </row>
    <row r="79" spans="1:17">
      <c r="A79" s="2" t="s">
        <v>157</v>
      </c>
      <c r="B79" s="2" t="s">
        <v>67</v>
      </c>
      <c r="C79" s="2" t="s">
        <v>50</v>
      </c>
      <c r="D79" s="2" t="s">
        <v>85</v>
      </c>
      <c r="E79" s="2" t="s">
        <v>52</v>
      </c>
      <c r="F79" s="5">
        <v>422249</v>
      </c>
      <c r="G79" s="2">
        <v>10</v>
      </c>
      <c r="H79" s="2" t="s">
        <v>75</v>
      </c>
      <c r="I79" t="str">
        <f t="shared" si="8"/>
        <v>Ibrahim</v>
      </c>
      <c r="J79" t="str">
        <f t="shared" si="9"/>
        <v>Musa</v>
      </c>
      <c r="K79" t="str">
        <f t="shared" si="15"/>
        <v>ibrahim. musa@name.com</v>
      </c>
      <c r="L79">
        <f t="shared" si="10"/>
        <v>12</v>
      </c>
      <c r="M79" t="str">
        <f t="shared" si="11"/>
        <v>IT</v>
      </c>
      <c r="N79" t="str">
        <f t="shared" si="12"/>
        <v>it</v>
      </c>
      <c r="O79" t="str">
        <f t="shared" si="13"/>
        <v>It</v>
      </c>
      <c r="P79" t="str">
        <f t="shared" si="14"/>
        <v>Ibrahim Musa</v>
      </c>
      <c r="Q79" s="6"/>
    </row>
    <row r="80" spans="1:17">
      <c r="A80" s="2" t="s">
        <v>158</v>
      </c>
      <c r="B80" s="2" t="s">
        <v>70</v>
      </c>
      <c r="C80" s="2" t="s">
        <v>61</v>
      </c>
      <c r="D80" s="2" t="s">
        <v>99</v>
      </c>
      <c r="E80" s="2" t="s">
        <v>57</v>
      </c>
      <c r="F80" s="5">
        <v>343548</v>
      </c>
      <c r="G80" s="2">
        <v>7</v>
      </c>
      <c r="H80" s="2" t="s">
        <v>68</v>
      </c>
      <c r="I80" t="str">
        <f t="shared" si="8"/>
        <v>Tunde</v>
      </c>
      <c r="J80" t="str">
        <f t="shared" si="9"/>
        <v>Salisu</v>
      </c>
      <c r="K80" t="str">
        <f t="shared" si="15"/>
        <v>tunde. salisu@name.com</v>
      </c>
      <c r="L80">
        <f t="shared" si="10"/>
        <v>12</v>
      </c>
      <c r="M80" t="str">
        <f t="shared" si="11"/>
        <v>SALES</v>
      </c>
      <c r="N80" t="str">
        <f t="shared" si="12"/>
        <v>sales</v>
      </c>
      <c r="O80" t="str">
        <f t="shared" si="13"/>
        <v>Sales</v>
      </c>
      <c r="P80" t="str">
        <f t="shared" si="14"/>
        <v>Tunde Salisu</v>
      </c>
      <c r="Q80" s="6"/>
    </row>
    <row r="81" spans="1:17">
      <c r="A81" s="2" t="s">
        <v>159</v>
      </c>
      <c r="B81" s="2" t="s">
        <v>84</v>
      </c>
      <c r="C81" s="2" t="s">
        <v>55</v>
      </c>
      <c r="D81" s="2" t="s">
        <v>56</v>
      </c>
      <c r="E81" s="2" t="s">
        <v>52</v>
      </c>
      <c r="F81" s="5">
        <v>429470</v>
      </c>
      <c r="G81" s="2">
        <v>3</v>
      </c>
      <c r="H81" s="2" t="s">
        <v>53</v>
      </c>
      <c r="I81" t="str">
        <f t="shared" si="8"/>
        <v>Chika</v>
      </c>
      <c r="J81" t="str">
        <f t="shared" si="9"/>
        <v>Umeh</v>
      </c>
      <c r="K81" t="str">
        <f t="shared" si="15"/>
        <v>chika. umeh@name.com</v>
      </c>
      <c r="L81">
        <f t="shared" si="10"/>
        <v>10</v>
      </c>
      <c r="M81" t="str">
        <f t="shared" si="11"/>
        <v>MARKETING</v>
      </c>
      <c r="N81" t="str">
        <f t="shared" si="12"/>
        <v>marketing</v>
      </c>
      <c r="O81" t="str">
        <f t="shared" si="13"/>
        <v>Marketing</v>
      </c>
      <c r="P81" t="str">
        <f t="shared" si="14"/>
        <v>Chika Umeh</v>
      </c>
      <c r="Q81" s="6"/>
    </row>
    <row r="82" spans="1:17">
      <c r="A82" s="2" t="s">
        <v>160</v>
      </c>
      <c r="B82" s="2" t="s">
        <v>94</v>
      </c>
      <c r="C82" s="2" t="s">
        <v>80</v>
      </c>
      <c r="D82" s="2" t="s">
        <v>71</v>
      </c>
      <c r="E82" s="2" t="s">
        <v>57</v>
      </c>
      <c r="F82" s="5">
        <v>228264</v>
      </c>
      <c r="G82" s="2">
        <v>5</v>
      </c>
      <c r="H82" s="2" t="s">
        <v>68</v>
      </c>
      <c r="I82" t="str">
        <f t="shared" si="8"/>
        <v>Maria</v>
      </c>
      <c r="J82" t="str">
        <f t="shared" si="9"/>
        <v>Okafor</v>
      </c>
      <c r="K82" t="str">
        <f t="shared" si="15"/>
        <v>maria. okafor@name.com</v>
      </c>
      <c r="L82">
        <f t="shared" si="10"/>
        <v>12</v>
      </c>
      <c r="M82" t="str">
        <f t="shared" si="11"/>
        <v>HR</v>
      </c>
      <c r="N82" t="str">
        <f t="shared" si="12"/>
        <v>hr</v>
      </c>
      <c r="O82" t="str">
        <f t="shared" si="13"/>
        <v>Hr</v>
      </c>
      <c r="P82" t="str">
        <f t="shared" si="14"/>
        <v>Maria Okafor</v>
      </c>
      <c r="Q82" s="6"/>
    </row>
    <row r="83" spans="1:17">
      <c r="A83" s="2" t="s">
        <v>161</v>
      </c>
      <c r="B83" s="2" t="s">
        <v>73</v>
      </c>
      <c r="C83" s="2" t="s">
        <v>61</v>
      </c>
      <c r="D83" s="2" t="s">
        <v>64</v>
      </c>
      <c r="E83" s="2" t="s">
        <v>52</v>
      </c>
      <c r="F83" s="5">
        <v>481733</v>
      </c>
      <c r="G83" s="2">
        <v>7</v>
      </c>
      <c r="H83" s="2" t="s">
        <v>58</v>
      </c>
      <c r="I83" t="str">
        <f t="shared" si="8"/>
        <v>James</v>
      </c>
      <c r="J83" t="str">
        <f t="shared" si="9"/>
        <v>Obi</v>
      </c>
      <c r="K83" t="str">
        <f t="shared" si="15"/>
        <v>james. obi@name.com</v>
      </c>
      <c r="L83">
        <f t="shared" si="10"/>
        <v>9</v>
      </c>
      <c r="M83" t="str">
        <f t="shared" si="11"/>
        <v>SALES</v>
      </c>
      <c r="N83" t="str">
        <f t="shared" si="12"/>
        <v>sales</v>
      </c>
      <c r="O83" t="str">
        <f t="shared" si="13"/>
        <v>Sales</v>
      </c>
      <c r="P83" t="str">
        <f t="shared" si="14"/>
        <v>James Obi</v>
      </c>
      <c r="Q83" s="6"/>
    </row>
    <row r="84" spans="1:17">
      <c r="A84" s="2" t="s">
        <v>162</v>
      </c>
      <c r="B84" s="2" t="s">
        <v>73</v>
      </c>
      <c r="C84" s="2" t="s">
        <v>50</v>
      </c>
      <c r="D84" s="2" t="s">
        <v>51</v>
      </c>
      <c r="E84" s="2" t="s">
        <v>52</v>
      </c>
      <c r="F84" s="5">
        <v>253954</v>
      </c>
      <c r="G84" s="2">
        <v>2</v>
      </c>
      <c r="H84" s="2" t="s">
        <v>58</v>
      </c>
      <c r="I84" t="str">
        <f t="shared" si="8"/>
        <v>James</v>
      </c>
      <c r="J84" t="str">
        <f t="shared" si="9"/>
        <v>Obi</v>
      </c>
      <c r="K84" t="str">
        <f t="shared" si="15"/>
        <v>james. obi@name.com</v>
      </c>
      <c r="L84">
        <f t="shared" si="10"/>
        <v>9</v>
      </c>
      <c r="M84" t="str">
        <f t="shared" si="11"/>
        <v>IT</v>
      </c>
      <c r="N84" t="str">
        <f t="shared" si="12"/>
        <v>it</v>
      </c>
      <c r="O84" t="str">
        <f t="shared" si="13"/>
        <v>It</v>
      </c>
      <c r="P84" t="str">
        <f t="shared" si="14"/>
        <v>James Obi</v>
      </c>
      <c r="Q84" s="6"/>
    </row>
    <row r="85" spans="1:17">
      <c r="A85" s="2" t="s">
        <v>163</v>
      </c>
      <c r="B85" s="2" t="s">
        <v>73</v>
      </c>
      <c r="C85" s="2" t="s">
        <v>50</v>
      </c>
      <c r="D85" s="2" t="s">
        <v>85</v>
      </c>
      <c r="E85" s="2" t="s">
        <v>52</v>
      </c>
      <c r="F85" s="5">
        <v>338029</v>
      </c>
      <c r="G85" s="2">
        <v>6</v>
      </c>
      <c r="H85" s="2" t="s">
        <v>75</v>
      </c>
      <c r="I85" t="str">
        <f t="shared" si="8"/>
        <v>James</v>
      </c>
      <c r="J85" t="str">
        <f t="shared" si="9"/>
        <v>Obi</v>
      </c>
      <c r="K85" t="str">
        <f t="shared" si="15"/>
        <v>james. obi@name.com</v>
      </c>
      <c r="L85">
        <f t="shared" si="10"/>
        <v>9</v>
      </c>
      <c r="M85" t="str">
        <f t="shared" si="11"/>
        <v>IT</v>
      </c>
      <c r="N85" t="str">
        <f t="shared" si="12"/>
        <v>it</v>
      </c>
      <c r="O85" t="str">
        <f t="shared" si="13"/>
        <v>It</v>
      </c>
      <c r="P85" t="str">
        <f t="shared" si="14"/>
        <v>James Obi</v>
      </c>
      <c r="Q85" s="6"/>
    </row>
    <row r="86" spans="1:17">
      <c r="A86" s="2" t="s">
        <v>164</v>
      </c>
      <c r="B86" s="2" t="s">
        <v>103</v>
      </c>
      <c r="C86" s="2" t="s">
        <v>63</v>
      </c>
      <c r="D86" s="2" t="s">
        <v>96</v>
      </c>
      <c r="E86" s="2" t="s">
        <v>52</v>
      </c>
      <c r="F86" s="5">
        <v>340723</v>
      </c>
      <c r="G86" s="2">
        <v>7</v>
      </c>
      <c r="H86" s="2" t="s">
        <v>53</v>
      </c>
      <c r="I86" t="str">
        <f t="shared" si="8"/>
        <v>Ngozi</v>
      </c>
      <c r="J86" t="str">
        <f t="shared" si="9"/>
        <v>Bello</v>
      </c>
      <c r="K86" t="str">
        <f t="shared" si="15"/>
        <v>ngozi. bello@name.com</v>
      </c>
      <c r="L86">
        <f t="shared" si="10"/>
        <v>11</v>
      </c>
      <c r="M86" t="str">
        <f t="shared" si="11"/>
        <v>FINANCE</v>
      </c>
      <c r="N86" t="str">
        <f t="shared" si="12"/>
        <v>finance</v>
      </c>
      <c r="O86" t="str">
        <f t="shared" si="13"/>
        <v>Finance</v>
      </c>
      <c r="P86" t="str">
        <f t="shared" si="14"/>
        <v>Ngozi Bello</v>
      </c>
      <c r="Q86" s="6"/>
    </row>
    <row r="87" spans="1:17">
      <c r="A87" s="2" t="s">
        <v>165</v>
      </c>
      <c r="B87" s="2" t="s">
        <v>60</v>
      </c>
      <c r="C87" s="2" t="s">
        <v>55</v>
      </c>
      <c r="D87" s="2" t="s">
        <v>51</v>
      </c>
      <c r="E87" s="2" t="s">
        <v>52</v>
      </c>
      <c r="F87" s="5">
        <v>216138</v>
      </c>
      <c r="G87" s="2">
        <v>2</v>
      </c>
      <c r="H87" s="2" t="s">
        <v>53</v>
      </c>
      <c r="I87" t="str">
        <f t="shared" si="8"/>
        <v>Faith</v>
      </c>
      <c r="J87" t="str">
        <f t="shared" si="9"/>
        <v>Udo</v>
      </c>
      <c r="K87" t="str">
        <f t="shared" si="15"/>
        <v>faith. udo@name.com</v>
      </c>
      <c r="L87">
        <f t="shared" si="10"/>
        <v>9</v>
      </c>
      <c r="M87" t="str">
        <f t="shared" si="11"/>
        <v>MARKETING</v>
      </c>
      <c r="N87" t="str">
        <f t="shared" si="12"/>
        <v>marketing</v>
      </c>
      <c r="O87" t="str">
        <f t="shared" si="13"/>
        <v>Marketing</v>
      </c>
      <c r="P87" t="str">
        <f t="shared" si="14"/>
        <v>Faith Udo</v>
      </c>
      <c r="Q87" s="6"/>
    </row>
    <row r="88" spans="1:17">
      <c r="A88" s="2" t="s">
        <v>166</v>
      </c>
      <c r="B88" s="2" t="s">
        <v>84</v>
      </c>
      <c r="C88" s="2" t="s">
        <v>50</v>
      </c>
      <c r="D88" s="2" t="s">
        <v>82</v>
      </c>
      <c r="E88" s="2" t="s">
        <v>57</v>
      </c>
      <c r="F88" s="5">
        <v>490025</v>
      </c>
      <c r="G88" s="2">
        <v>8</v>
      </c>
      <c r="H88" s="2" t="s">
        <v>58</v>
      </c>
      <c r="I88" t="str">
        <f t="shared" si="8"/>
        <v>Chika</v>
      </c>
      <c r="J88" t="str">
        <f t="shared" si="9"/>
        <v>Umeh</v>
      </c>
      <c r="K88" t="str">
        <f t="shared" si="15"/>
        <v>chika. umeh@name.com</v>
      </c>
      <c r="L88">
        <f t="shared" si="10"/>
        <v>10</v>
      </c>
      <c r="M88" t="str">
        <f t="shared" si="11"/>
        <v>IT</v>
      </c>
      <c r="N88" t="str">
        <f t="shared" si="12"/>
        <v>it</v>
      </c>
      <c r="O88" t="str">
        <f t="shared" si="13"/>
        <v>It</v>
      </c>
      <c r="P88" t="str">
        <f t="shared" si="14"/>
        <v>Chika Umeh</v>
      </c>
      <c r="Q88" s="6"/>
    </row>
    <row r="89" spans="1:17">
      <c r="A89" s="2" t="s">
        <v>167</v>
      </c>
      <c r="B89" s="2" t="s">
        <v>84</v>
      </c>
      <c r="C89" s="2" t="s">
        <v>55</v>
      </c>
      <c r="D89" s="2" t="s">
        <v>77</v>
      </c>
      <c r="E89" s="2" t="s">
        <v>52</v>
      </c>
      <c r="F89" s="5">
        <v>339580</v>
      </c>
      <c r="G89" s="2">
        <v>2</v>
      </c>
      <c r="H89" s="2" t="s">
        <v>65</v>
      </c>
      <c r="I89" t="str">
        <f t="shared" si="8"/>
        <v>Chika</v>
      </c>
      <c r="J89" t="str">
        <f t="shared" si="9"/>
        <v>Umeh</v>
      </c>
      <c r="K89" t="str">
        <f t="shared" si="15"/>
        <v>chika. umeh@name.com</v>
      </c>
      <c r="L89">
        <f t="shared" si="10"/>
        <v>10</v>
      </c>
      <c r="M89" t="str">
        <f t="shared" si="11"/>
        <v>MARKETING</v>
      </c>
      <c r="N89" t="str">
        <f t="shared" si="12"/>
        <v>marketing</v>
      </c>
      <c r="O89" t="str">
        <f t="shared" si="13"/>
        <v>Marketing</v>
      </c>
      <c r="P89" t="str">
        <f t="shared" si="14"/>
        <v>Chika Umeh</v>
      </c>
      <c r="Q89" s="6"/>
    </row>
    <row r="90" spans="1:17">
      <c r="A90" s="2" t="s">
        <v>168</v>
      </c>
      <c r="B90" s="2" t="s">
        <v>67</v>
      </c>
      <c r="C90" s="2" t="s">
        <v>80</v>
      </c>
      <c r="D90" s="2" t="s">
        <v>85</v>
      </c>
      <c r="E90" s="2" t="s">
        <v>57</v>
      </c>
      <c r="F90" s="5">
        <v>325782</v>
      </c>
      <c r="G90" s="2">
        <v>8</v>
      </c>
      <c r="H90" s="2" t="s">
        <v>65</v>
      </c>
      <c r="I90" t="str">
        <f t="shared" si="8"/>
        <v>Ibrahim</v>
      </c>
      <c r="J90" t="str">
        <f t="shared" si="9"/>
        <v>Musa</v>
      </c>
      <c r="K90" t="str">
        <f t="shared" si="15"/>
        <v>ibrahim. musa@name.com</v>
      </c>
      <c r="L90">
        <f t="shared" si="10"/>
        <v>12</v>
      </c>
      <c r="M90" t="str">
        <f t="shared" si="11"/>
        <v>HR</v>
      </c>
      <c r="N90" t="str">
        <f t="shared" si="12"/>
        <v>hr</v>
      </c>
      <c r="O90" t="str">
        <f t="shared" si="13"/>
        <v>Hr</v>
      </c>
      <c r="P90" t="str">
        <f t="shared" si="14"/>
        <v>Ibrahim Musa</v>
      </c>
      <c r="Q90" s="6"/>
    </row>
    <row r="91" spans="1:17">
      <c r="A91" s="2" t="s">
        <v>169</v>
      </c>
      <c r="B91" s="2" t="s">
        <v>70</v>
      </c>
      <c r="C91" s="2" t="s">
        <v>50</v>
      </c>
      <c r="D91" s="2" t="s">
        <v>88</v>
      </c>
      <c r="E91" s="2" t="s">
        <v>52</v>
      </c>
      <c r="F91" s="5">
        <v>397430</v>
      </c>
      <c r="G91" s="2">
        <v>10</v>
      </c>
      <c r="H91" s="2" t="s">
        <v>68</v>
      </c>
      <c r="I91" t="str">
        <f t="shared" si="8"/>
        <v>Tunde</v>
      </c>
      <c r="J91" t="str">
        <f t="shared" si="9"/>
        <v>Salisu</v>
      </c>
      <c r="K91" t="str">
        <f t="shared" si="15"/>
        <v>tunde. salisu@name.com</v>
      </c>
      <c r="L91">
        <f t="shared" si="10"/>
        <v>12</v>
      </c>
      <c r="M91" t="str">
        <f t="shared" si="11"/>
        <v>IT</v>
      </c>
      <c r="N91" t="str">
        <f t="shared" si="12"/>
        <v>it</v>
      </c>
      <c r="O91" t="str">
        <f t="shared" si="13"/>
        <v>It</v>
      </c>
      <c r="P91" t="str">
        <f t="shared" si="14"/>
        <v>Tunde Salisu</v>
      </c>
      <c r="Q91" s="6"/>
    </row>
    <row r="92" spans="1:17">
      <c r="A92" s="2" t="s">
        <v>170</v>
      </c>
      <c r="B92" s="2" t="s">
        <v>103</v>
      </c>
      <c r="C92" s="2" t="s">
        <v>63</v>
      </c>
      <c r="D92" s="2" t="s">
        <v>85</v>
      </c>
      <c r="E92" s="2" t="s">
        <v>52</v>
      </c>
      <c r="F92" s="5">
        <v>300847</v>
      </c>
      <c r="G92" s="2">
        <v>4</v>
      </c>
      <c r="H92" s="2" t="s">
        <v>53</v>
      </c>
      <c r="I92" t="str">
        <f t="shared" si="8"/>
        <v>Ngozi</v>
      </c>
      <c r="J92" t="str">
        <f t="shared" si="9"/>
        <v>Bello</v>
      </c>
      <c r="K92" t="str">
        <f t="shared" si="15"/>
        <v>ngozi. bello@name.com</v>
      </c>
      <c r="L92">
        <f t="shared" si="10"/>
        <v>11</v>
      </c>
      <c r="M92" t="str">
        <f t="shared" si="11"/>
        <v>FINANCE</v>
      </c>
      <c r="N92" t="str">
        <f t="shared" si="12"/>
        <v>finance</v>
      </c>
      <c r="O92" t="str">
        <f t="shared" si="13"/>
        <v>Finance</v>
      </c>
      <c r="P92" t="str">
        <f t="shared" si="14"/>
        <v>Ngozi Bello</v>
      </c>
      <c r="Q92" s="6"/>
    </row>
    <row r="93" spans="1:17">
      <c r="A93" s="2" t="s">
        <v>171</v>
      </c>
      <c r="B93" s="2" t="s">
        <v>73</v>
      </c>
      <c r="C93" s="2" t="s">
        <v>50</v>
      </c>
      <c r="D93" s="2" t="s">
        <v>56</v>
      </c>
      <c r="E93" s="2" t="s">
        <v>52</v>
      </c>
      <c r="F93" s="5">
        <v>265948</v>
      </c>
      <c r="G93" s="2">
        <v>6</v>
      </c>
      <c r="H93" s="2" t="s">
        <v>58</v>
      </c>
      <c r="I93" t="str">
        <f t="shared" si="8"/>
        <v>James</v>
      </c>
      <c r="J93" t="str">
        <f t="shared" si="9"/>
        <v>Obi</v>
      </c>
      <c r="K93" t="str">
        <f t="shared" si="15"/>
        <v>james. obi@name.com</v>
      </c>
      <c r="L93">
        <f t="shared" si="10"/>
        <v>9</v>
      </c>
      <c r="M93" t="str">
        <f t="shared" si="11"/>
        <v>IT</v>
      </c>
      <c r="N93" t="str">
        <f t="shared" si="12"/>
        <v>it</v>
      </c>
      <c r="O93" t="str">
        <f t="shared" si="13"/>
        <v>It</v>
      </c>
      <c r="P93" t="str">
        <f t="shared" si="14"/>
        <v>James Obi</v>
      </c>
      <c r="Q93" s="6"/>
    </row>
    <row r="94" spans="1:17">
      <c r="A94" s="2" t="s">
        <v>172</v>
      </c>
      <c r="B94" s="2" t="s">
        <v>70</v>
      </c>
      <c r="C94" s="2" t="s">
        <v>80</v>
      </c>
      <c r="D94" s="2" t="s">
        <v>77</v>
      </c>
      <c r="E94" s="2" t="s">
        <v>57</v>
      </c>
      <c r="F94" s="5">
        <v>341060</v>
      </c>
      <c r="G94" s="2">
        <v>7</v>
      </c>
      <c r="H94" s="2" t="s">
        <v>75</v>
      </c>
      <c r="I94" t="str">
        <f t="shared" si="8"/>
        <v>Tunde</v>
      </c>
      <c r="J94" t="str">
        <f t="shared" si="9"/>
        <v>Salisu</v>
      </c>
      <c r="K94" t="str">
        <f t="shared" si="15"/>
        <v>tunde. salisu@name.com</v>
      </c>
      <c r="L94">
        <f t="shared" si="10"/>
        <v>12</v>
      </c>
      <c r="M94" t="str">
        <f t="shared" si="11"/>
        <v>HR</v>
      </c>
      <c r="N94" t="str">
        <f t="shared" si="12"/>
        <v>hr</v>
      </c>
      <c r="O94" t="str">
        <f t="shared" si="13"/>
        <v>Hr</v>
      </c>
      <c r="P94" t="str">
        <f t="shared" si="14"/>
        <v>Tunde Salisu</v>
      </c>
      <c r="Q94" s="6"/>
    </row>
    <row r="95" spans="1:17">
      <c r="A95" s="2" t="s">
        <v>173</v>
      </c>
      <c r="B95" s="2" t="s">
        <v>103</v>
      </c>
      <c r="C95" s="2" t="s">
        <v>55</v>
      </c>
      <c r="D95" s="2" t="s">
        <v>64</v>
      </c>
      <c r="E95" s="2" t="s">
        <v>57</v>
      </c>
      <c r="F95" s="5">
        <v>326977</v>
      </c>
      <c r="G95" s="2">
        <v>4</v>
      </c>
      <c r="H95" s="2" t="s">
        <v>58</v>
      </c>
      <c r="I95" t="str">
        <f t="shared" si="8"/>
        <v>Ngozi</v>
      </c>
      <c r="J95" t="str">
        <f t="shared" si="9"/>
        <v>Bello</v>
      </c>
      <c r="K95" t="str">
        <f t="shared" si="15"/>
        <v>ngozi. bello@name.com</v>
      </c>
      <c r="L95">
        <f t="shared" si="10"/>
        <v>11</v>
      </c>
      <c r="M95" t="str">
        <f t="shared" si="11"/>
        <v>MARKETING</v>
      </c>
      <c r="N95" t="str">
        <f t="shared" si="12"/>
        <v>marketing</v>
      </c>
      <c r="O95" t="str">
        <f t="shared" si="13"/>
        <v>Marketing</v>
      </c>
      <c r="P95" t="str">
        <f t="shared" si="14"/>
        <v>Ngozi Bello</v>
      </c>
      <c r="Q95" s="6"/>
    </row>
    <row r="96" spans="1:17">
      <c r="A96" s="2" t="s">
        <v>174</v>
      </c>
      <c r="B96" s="2" t="s">
        <v>70</v>
      </c>
      <c r="C96" s="2" t="s">
        <v>50</v>
      </c>
      <c r="D96" s="2" t="s">
        <v>51</v>
      </c>
      <c r="E96" s="2" t="s">
        <v>52</v>
      </c>
      <c r="F96" s="5">
        <v>433031</v>
      </c>
      <c r="G96" s="2">
        <v>1</v>
      </c>
      <c r="H96" s="2" t="s">
        <v>58</v>
      </c>
      <c r="I96" t="str">
        <f t="shared" si="8"/>
        <v>Tunde</v>
      </c>
      <c r="J96" t="str">
        <f t="shared" si="9"/>
        <v>Salisu</v>
      </c>
      <c r="K96" t="str">
        <f t="shared" si="15"/>
        <v>tunde. salisu@name.com</v>
      </c>
      <c r="L96">
        <f t="shared" si="10"/>
        <v>12</v>
      </c>
      <c r="M96" t="str">
        <f t="shared" si="11"/>
        <v>IT</v>
      </c>
      <c r="N96" t="str">
        <f t="shared" si="12"/>
        <v>it</v>
      </c>
      <c r="O96" t="str">
        <f t="shared" si="13"/>
        <v>It</v>
      </c>
      <c r="P96" t="str">
        <f t="shared" si="14"/>
        <v>Tunde Salisu</v>
      </c>
      <c r="Q96" s="6"/>
    </row>
    <row r="97" spans="1:17">
      <c r="A97" s="2" t="s">
        <v>175</v>
      </c>
      <c r="B97" s="2" t="s">
        <v>67</v>
      </c>
      <c r="C97" s="2" t="s">
        <v>55</v>
      </c>
      <c r="D97" s="2" t="s">
        <v>71</v>
      </c>
      <c r="E97" s="2" t="s">
        <v>52</v>
      </c>
      <c r="F97" s="5">
        <v>421034</v>
      </c>
      <c r="G97" s="2">
        <v>3</v>
      </c>
      <c r="H97" s="2" t="s">
        <v>65</v>
      </c>
      <c r="I97" t="str">
        <f t="shared" si="8"/>
        <v>Ibrahim</v>
      </c>
      <c r="J97" t="str">
        <f t="shared" si="9"/>
        <v>Musa</v>
      </c>
      <c r="K97" t="str">
        <f t="shared" si="15"/>
        <v>ibrahim. musa@name.com</v>
      </c>
      <c r="L97">
        <f t="shared" si="10"/>
        <v>12</v>
      </c>
      <c r="M97" t="str">
        <f t="shared" si="11"/>
        <v>MARKETING</v>
      </c>
      <c r="N97" t="str">
        <f t="shared" si="12"/>
        <v>marketing</v>
      </c>
      <c r="O97" t="str">
        <f t="shared" si="13"/>
        <v>Marketing</v>
      </c>
      <c r="P97" t="str">
        <f t="shared" si="14"/>
        <v>Ibrahim Musa</v>
      </c>
      <c r="Q97" s="6"/>
    </row>
    <row r="98" spans="1:17">
      <c r="A98" s="2" t="s">
        <v>176</v>
      </c>
      <c r="B98" s="2" t="s">
        <v>60</v>
      </c>
      <c r="C98" s="2" t="s">
        <v>80</v>
      </c>
      <c r="D98" s="2" t="s">
        <v>56</v>
      </c>
      <c r="E98" s="2" t="s">
        <v>52</v>
      </c>
      <c r="F98" s="5">
        <v>363199</v>
      </c>
      <c r="G98" s="2">
        <v>4</v>
      </c>
      <c r="H98" s="2" t="s">
        <v>68</v>
      </c>
      <c r="I98" t="str">
        <f t="shared" si="8"/>
        <v>Faith</v>
      </c>
      <c r="J98" t="str">
        <f t="shared" si="9"/>
        <v>Udo</v>
      </c>
      <c r="K98" t="str">
        <f t="shared" si="15"/>
        <v>faith. udo@name.com</v>
      </c>
      <c r="L98">
        <f t="shared" si="10"/>
        <v>9</v>
      </c>
      <c r="M98" t="str">
        <f t="shared" si="11"/>
        <v>HR</v>
      </c>
      <c r="N98" t="str">
        <f t="shared" si="12"/>
        <v>hr</v>
      </c>
      <c r="O98" t="str">
        <f t="shared" si="13"/>
        <v>Hr</v>
      </c>
      <c r="P98" t="str">
        <f t="shared" si="14"/>
        <v>Faith Udo</v>
      </c>
      <c r="Q98" s="6"/>
    </row>
    <row r="99" spans="1:17">
      <c r="A99" s="2" t="s">
        <v>177</v>
      </c>
      <c r="B99" s="2" t="s">
        <v>70</v>
      </c>
      <c r="C99" s="2" t="s">
        <v>55</v>
      </c>
      <c r="D99" s="2" t="s">
        <v>85</v>
      </c>
      <c r="E99" s="2" t="s">
        <v>52</v>
      </c>
      <c r="F99" s="5">
        <v>399940</v>
      </c>
      <c r="G99" s="2">
        <v>7</v>
      </c>
      <c r="H99" s="2" t="s">
        <v>53</v>
      </c>
      <c r="I99" t="str">
        <f t="shared" si="8"/>
        <v>Tunde</v>
      </c>
      <c r="J99" t="str">
        <f t="shared" si="9"/>
        <v>Salisu</v>
      </c>
      <c r="K99" t="str">
        <f t="shared" si="15"/>
        <v>tunde. salisu@name.com</v>
      </c>
      <c r="L99">
        <f t="shared" si="10"/>
        <v>12</v>
      </c>
      <c r="M99" t="str">
        <f t="shared" si="11"/>
        <v>MARKETING</v>
      </c>
      <c r="N99" t="str">
        <f t="shared" si="12"/>
        <v>marketing</v>
      </c>
      <c r="O99" t="str">
        <f t="shared" si="13"/>
        <v>Marketing</v>
      </c>
      <c r="P99" t="str">
        <f t="shared" si="14"/>
        <v>Tunde Salisu</v>
      </c>
      <c r="Q99" s="6"/>
    </row>
    <row r="100" spans="1:17">
      <c r="A100" s="2" t="s">
        <v>178</v>
      </c>
      <c r="B100" s="2" t="s">
        <v>73</v>
      </c>
      <c r="C100" s="2" t="s">
        <v>50</v>
      </c>
      <c r="D100" s="2" t="s">
        <v>96</v>
      </c>
      <c r="E100" s="2" t="s">
        <v>52</v>
      </c>
      <c r="F100" s="5">
        <v>231891</v>
      </c>
      <c r="G100" s="2">
        <v>4</v>
      </c>
      <c r="H100" s="2" t="s">
        <v>68</v>
      </c>
      <c r="I100" t="str">
        <f t="shared" si="8"/>
        <v>James</v>
      </c>
      <c r="J100" t="str">
        <f t="shared" si="9"/>
        <v>Obi</v>
      </c>
      <c r="K100" t="str">
        <f t="shared" si="15"/>
        <v>james. obi@name.com</v>
      </c>
      <c r="L100">
        <f t="shared" si="10"/>
        <v>9</v>
      </c>
      <c r="M100" t="str">
        <f t="shared" si="11"/>
        <v>IT</v>
      </c>
      <c r="N100" t="str">
        <f t="shared" si="12"/>
        <v>it</v>
      </c>
      <c r="O100" t="str">
        <f t="shared" si="13"/>
        <v>It</v>
      </c>
      <c r="P100" t="str">
        <f t="shared" si="14"/>
        <v>James Obi</v>
      </c>
      <c r="Q100" s="6"/>
    </row>
    <row r="101" spans="1:17">
      <c r="A101" s="2" t="s">
        <v>179</v>
      </c>
      <c r="B101" s="2" t="s">
        <v>60</v>
      </c>
      <c r="C101" s="2" t="s">
        <v>61</v>
      </c>
      <c r="D101" s="2" t="s">
        <v>99</v>
      </c>
      <c r="E101" s="2" t="s">
        <v>52</v>
      </c>
      <c r="F101" s="5">
        <v>203199</v>
      </c>
      <c r="G101" s="2">
        <v>8</v>
      </c>
      <c r="H101" s="20" t="s">
        <v>189</v>
      </c>
      <c r="I101" t="str">
        <f t="shared" si="8"/>
        <v>Faith</v>
      </c>
      <c r="J101" t="str">
        <f t="shared" si="9"/>
        <v>Udo</v>
      </c>
      <c r="K101" t="str">
        <f t="shared" si="15"/>
        <v>faith. udo@name.com</v>
      </c>
      <c r="L101">
        <f t="shared" si="10"/>
        <v>9</v>
      </c>
      <c r="M101" t="str">
        <f t="shared" si="11"/>
        <v>SALES</v>
      </c>
      <c r="N101" t="str">
        <f t="shared" si="12"/>
        <v>sales</v>
      </c>
      <c r="O101" t="str">
        <f t="shared" si="13"/>
        <v>Sales</v>
      </c>
      <c r="P101" t="str">
        <f t="shared" si="14"/>
        <v>Faith Udo</v>
      </c>
      <c r="Q101" s="6"/>
    </row>
    <row r="102" spans="1:17">
      <c r="D102" s="9"/>
      <c r="F102"/>
      <c r="K102" t="str">
        <f>UPPER(B102)</f>
        <v/>
      </c>
      <c r="L102" t="str">
        <f>LOWER(B102)</f>
        <v/>
      </c>
    </row>
    <row r="103" spans="1:17">
      <c r="E103" s="9"/>
      <c r="F103"/>
      <c r="L103" t="str">
        <f>UPPER(C103)</f>
        <v/>
      </c>
      <c r="M103" t="str">
        <f>LOWER(C103)</f>
        <v/>
      </c>
    </row>
    <row r="104" spans="1:17">
      <c r="M104" t="str">
        <f t="shared" si="11"/>
        <v/>
      </c>
      <c r="N104" t="str">
        <f t="shared" si="12"/>
        <v/>
      </c>
    </row>
    <row r="105" spans="1:17">
      <c r="D105" s="6"/>
      <c r="F105"/>
      <c r="K105" t="str">
        <f t="shared" si="11"/>
        <v/>
      </c>
      <c r="L105" t="str">
        <f t="shared" si="12"/>
        <v/>
      </c>
    </row>
    <row r="106" spans="1:17">
      <c r="D106" s="6"/>
      <c r="F106"/>
      <c r="K106" t="str">
        <f t="shared" si="11"/>
        <v/>
      </c>
      <c r="L106" t="str">
        <f t="shared" si="12"/>
        <v/>
      </c>
    </row>
    <row r="107" spans="1:17">
      <c r="M107" t="str">
        <f t="shared" si="11"/>
        <v/>
      </c>
      <c r="N107" t="str">
        <f t="shared" si="12"/>
        <v/>
      </c>
    </row>
    <row r="108" spans="1:17">
      <c r="M108" t="str">
        <f t="shared" si="11"/>
        <v/>
      </c>
      <c r="N108" t="str">
        <f t="shared" si="12"/>
        <v/>
      </c>
    </row>
    <row r="109" spans="1:17">
      <c r="M109" t="str">
        <f t="shared" si="11"/>
        <v/>
      </c>
      <c r="N109" t="str">
        <f t="shared" si="12"/>
        <v/>
      </c>
    </row>
    <row r="110" spans="1:17">
      <c r="M110" t="str">
        <f t="shared" si="11"/>
        <v/>
      </c>
      <c r="N110" t="str">
        <f t="shared" si="12"/>
        <v/>
      </c>
    </row>
    <row r="111" spans="1:17">
      <c r="M111" t="str">
        <f t="shared" si="11"/>
        <v/>
      </c>
      <c r="N111" t="str">
        <f t="shared" si="12"/>
        <v/>
      </c>
    </row>
    <row r="112" spans="1:17">
      <c r="M112" t="str">
        <f t="shared" si="11"/>
        <v/>
      </c>
      <c r="N112" t="str">
        <f t="shared" si="12"/>
        <v/>
      </c>
    </row>
    <row r="113" spans="14:14">
      <c r="N113" t="str">
        <f t="shared" si="12"/>
        <v/>
      </c>
    </row>
    <row r="114" spans="14:14">
      <c r="N114" t="str">
        <f t="shared" si="12"/>
        <v/>
      </c>
    </row>
    <row r="115" spans="14:14">
      <c r="N115" t="str">
        <f t="shared" si="12"/>
        <v/>
      </c>
    </row>
    <row r="116" spans="14:14">
      <c r="N116" t="str">
        <f t="shared" si="12"/>
        <v/>
      </c>
    </row>
    <row r="117" spans="14:14">
      <c r="N117" t="str">
        <f t="shared" si="12"/>
        <v/>
      </c>
    </row>
    <row r="118" spans="14:14">
      <c r="N118" t="str">
        <f t="shared" si="12"/>
        <v/>
      </c>
    </row>
    <row r="119" spans="14:14">
      <c r="N119" t="str">
        <f t="shared" si="12"/>
        <v/>
      </c>
    </row>
    <row r="120" spans="14:14">
      <c r="N120" t="str">
        <f t="shared" si="12"/>
        <v/>
      </c>
    </row>
    <row r="121" spans="14:14">
      <c r="N121" t="str">
        <f t="shared" si="12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23106RN0DA</dc:creator>
  <cp:keywords/>
  <dc:description/>
  <cp:lastModifiedBy>HALIMAH BASHIR</cp:lastModifiedBy>
  <cp:revision/>
  <dcterms:created xsi:type="dcterms:W3CDTF">2025-10-30T11:28:00Z</dcterms:created>
  <dcterms:modified xsi:type="dcterms:W3CDTF">2026-08-09T01:07:06Z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